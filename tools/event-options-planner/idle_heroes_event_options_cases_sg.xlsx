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idle Heroes studeis\"/>
    </mc:Choice>
  </mc:AlternateContent>
  <xr:revisionPtr revIDLastSave="0" documentId="13_ncr:1_{85EE9A42-F18E-46EA-8B47-6CC6818A9343}" xr6:coauthVersionLast="47" xr6:coauthVersionMax="47" xr10:uidLastSave="{00000000-0000-0000-0000-000000000000}"/>
  <bookViews>
    <workbookView xWindow="-108" yWindow="-108" windowWidth="41496" windowHeight="16776" activeTab="1" xr2:uid="{00000000-000D-0000-FFFF-FFFF00000000}"/>
  </bookViews>
  <sheets>
    <sheet name="Options" sheetId="2" r:id="rId1"/>
    <sheet name="Cases" sheetId="3" r:id="rId2"/>
    <sheet name="Rewards" sheetId="1" r:id="rId3"/>
    <sheet name="Event Priview_x0009__x0009_" sheetId="4" r:id="rId4"/>
  </sheets>
  <calcPr calcId="191029"/>
</workbook>
</file>

<file path=xl/calcChain.xml><?xml version="1.0" encoding="utf-8"?>
<calcChain xmlns="http://schemas.openxmlformats.org/spreadsheetml/2006/main">
  <c r="S34" i="3" l="1"/>
  <c r="R34" i="3"/>
  <c r="Q34" i="3"/>
  <c r="P34" i="3"/>
  <c r="O34" i="3"/>
  <c r="N34" i="3"/>
  <c r="M34" i="3"/>
  <c r="L34" i="3"/>
  <c r="S33" i="3"/>
  <c r="R33" i="3"/>
  <c r="Q33" i="3"/>
  <c r="P33" i="3"/>
  <c r="O33" i="3"/>
  <c r="N33" i="3"/>
  <c r="M33" i="3"/>
  <c r="L33" i="3"/>
  <c r="S32" i="3"/>
  <c r="R32" i="3"/>
  <c r="Q32" i="3"/>
  <c r="P32" i="3"/>
  <c r="O32" i="3"/>
  <c r="N32" i="3"/>
  <c r="M32" i="3"/>
  <c r="L32" i="3"/>
  <c r="S31" i="3"/>
  <c r="R31" i="3"/>
  <c r="Q31" i="3"/>
  <c r="P31" i="3"/>
  <c r="O31" i="3"/>
  <c r="N31" i="3"/>
  <c r="M31" i="3"/>
  <c r="L31" i="3"/>
  <c r="S30" i="3"/>
  <c r="R30" i="3"/>
  <c r="Q30" i="3"/>
  <c r="P30" i="3"/>
  <c r="O30" i="3"/>
  <c r="N30" i="3"/>
  <c r="M30" i="3"/>
  <c r="L30" i="3"/>
  <c r="S29" i="3"/>
  <c r="R29" i="3"/>
  <c r="Q29" i="3"/>
  <c r="P29" i="3"/>
  <c r="O29" i="3"/>
  <c r="N29" i="3"/>
  <c r="M29" i="3"/>
  <c r="L29" i="3"/>
  <c r="S28" i="3"/>
  <c r="R28" i="3"/>
  <c r="Q28" i="3"/>
  <c r="P28" i="3"/>
  <c r="O28" i="3"/>
  <c r="N28" i="3"/>
  <c r="M28" i="3"/>
  <c r="L28" i="3"/>
  <c r="S27" i="3"/>
  <c r="R27" i="3"/>
  <c r="Q27" i="3"/>
  <c r="P27" i="3"/>
  <c r="O27" i="3"/>
  <c r="N27" i="3"/>
  <c r="M27" i="3"/>
  <c r="L27" i="3"/>
  <c r="S26" i="3"/>
  <c r="R26" i="3"/>
  <c r="Q26" i="3"/>
  <c r="P26" i="3"/>
  <c r="O26" i="3"/>
  <c r="N26" i="3"/>
  <c r="M26" i="3"/>
  <c r="L26" i="3"/>
  <c r="S25" i="3"/>
  <c r="R25" i="3"/>
  <c r="Q25" i="3"/>
  <c r="P25" i="3"/>
  <c r="O25" i="3"/>
  <c r="N25" i="3"/>
  <c r="M25" i="3"/>
  <c r="L25" i="3"/>
  <c r="S24" i="3"/>
  <c r="R24" i="3"/>
  <c r="Q24" i="3"/>
  <c r="P24" i="3"/>
  <c r="O24" i="3"/>
  <c r="N24" i="3"/>
  <c r="M24" i="3"/>
  <c r="L24" i="3"/>
  <c r="S23" i="3"/>
  <c r="R23" i="3"/>
  <c r="Q23" i="3"/>
  <c r="P23" i="3"/>
  <c r="O23" i="3"/>
  <c r="N23" i="3"/>
  <c r="M23" i="3"/>
  <c r="L23" i="3"/>
  <c r="S22" i="3"/>
  <c r="R22" i="3"/>
  <c r="Q22" i="3"/>
  <c r="P22" i="3"/>
  <c r="O22" i="3"/>
  <c r="N22" i="3"/>
  <c r="M22" i="3"/>
  <c r="L22" i="3"/>
  <c r="S21" i="3"/>
  <c r="R21" i="3"/>
  <c r="Q21" i="3"/>
  <c r="P21" i="3"/>
  <c r="O21" i="3"/>
  <c r="N21" i="3"/>
  <c r="M21" i="3"/>
  <c r="L21" i="3"/>
  <c r="S20" i="3"/>
  <c r="R20" i="3"/>
  <c r="Q20" i="3"/>
  <c r="P20" i="3"/>
  <c r="O20" i="3"/>
  <c r="N20" i="3"/>
  <c r="M20" i="3"/>
  <c r="L20" i="3"/>
  <c r="S19" i="3"/>
  <c r="R19" i="3"/>
  <c r="Q19" i="3"/>
  <c r="P19" i="3"/>
  <c r="O19" i="3"/>
  <c r="N19" i="3"/>
  <c r="M19" i="3"/>
  <c r="L19" i="3"/>
  <c r="S18" i="3"/>
  <c r="R18" i="3"/>
  <c r="Q18" i="3"/>
  <c r="P18" i="3"/>
  <c r="O18" i="3"/>
  <c r="N18" i="3"/>
  <c r="M18" i="3"/>
  <c r="L18" i="3"/>
  <c r="S17" i="3"/>
  <c r="R17" i="3"/>
  <c r="Q17" i="3"/>
  <c r="P17" i="3"/>
  <c r="O17" i="3"/>
  <c r="N17" i="3"/>
  <c r="M17" i="3"/>
  <c r="L17" i="3"/>
  <c r="S16" i="3"/>
  <c r="R16" i="3"/>
  <c r="Q16" i="3"/>
  <c r="P16" i="3"/>
  <c r="O16" i="3"/>
  <c r="N16" i="3"/>
  <c r="M16" i="3"/>
  <c r="L16" i="3"/>
  <c r="S15" i="3"/>
  <c r="R15" i="3"/>
  <c r="Q15" i="3"/>
  <c r="P15" i="3"/>
  <c r="O15" i="3"/>
  <c r="N15" i="3"/>
  <c r="M15" i="3"/>
  <c r="L15" i="3"/>
  <c r="S14" i="3"/>
  <c r="R14" i="3"/>
  <c r="Q14" i="3"/>
  <c r="P14" i="3"/>
  <c r="O14" i="3"/>
  <c r="N14" i="3"/>
  <c r="M14" i="3"/>
  <c r="L14" i="3"/>
  <c r="S13" i="3"/>
  <c r="R13" i="3"/>
  <c r="Q13" i="3"/>
  <c r="P13" i="3"/>
  <c r="O13" i="3"/>
  <c r="N13" i="3"/>
  <c r="M13" i="3"/>
  <c r="L13" i="3"/>
  <c r="S12" i="3"/>
  <c r="R12" i="3"/>
  <c r="Q12" i="3"/>
  <c r="P12" i="3"/>
  <c r="O12" i="3"/>
  <c r="N12" i="3"/>
  <c r="M12" i="3"/>
  <c r="L12" i="3"/>
  <c r="S11" i="3"/>
  <c r="R11" i="3"/>
  <c r="Q11" i="3"/>
  <c r="P11" i="3"/>
  <c r="O11" i="3"/>
  <c r="N11" i="3"/>
  <c r="M11" i="3"/>
  <c r="L11" i="3"/>
  <c r="S10" i="3"/>
  <c r="R10" i="3"/>
  <c r="Q10" i="3"/>
  <c r="P10" i="3"/>
  <c r="O10" i="3"/>
  <c r="N10" i="3"/>
  <c r="M10" i="3"/>
  <c r="L10" i="3"/>
  <c r="S9" i="3"/>
  <c r="R9" i="3"/>
  <c r="Q9" i="3"/>
  <c r="P9" i="3"/>
  <c r="O9" i="3"/>
  <c r="N9" i="3"/>
  <c r="M9" i="3"/>
  <c r="L9" i="3"/>
  <c r="S7" i="3"/>
  <c r="R7" i="3"/>
  <c r="Q7" i="3"/>
  <c r="P7" i="3"/>
  <c r="O7" i="3"/>
  <c r="N7" i="3"/>
  <c r="M7" i="3"/>
  <c r="L7" i="3"/>
  <c r="R6" i="3"/>
  <c r="O6" i="3"/>
  <c r="M6" i="3"/>
  <c r="AA104" i="2"/>
  <c r="Z104" i="2"/>
  <c r="Y104" i="2"/>
  <c r="X104" i="2"/>
  <c r="W104" i="2"/>
  <c r="V104" i="2"/>
  <c r="U104" i="2"/>
  <c r="O104" i="2"/>
  <c r="P104" i="2" s="1"/>
  <c r="AA103" i="2"/>
  <c r="Z103" i="2"/>
  <c r="Y103" i="2"/>
  <c r="X103" i="2"/>
  <c r="W103" i="2"/>
  <c r="V103" i="2"/>
  <c r="U103" i="2"/>
  <c r="O103" i="2"/>
  <c r="P103" i="2" s="1"/>
  <c r="AA102" i="2"/>
  <c r="Z102" i="2"/>
  <c r="Y102" i="2"/>
  <c r="X102" i="2"/>
  <c r="W102" i="2"/>
  <c r="V102" i="2"/>
  <c r="U102" i="2"/>
  <c r="O102" i="2"/>
  <c r="P102" i="2" s="1"/>
  <c r="AA101" i="2"/>
  <c r="Z101" i="2"/>
  <c r="Y101" i="2"/>
  <c r="X101" i="2"/>
  <c r="W101" i="2"/>
  <c r="V101" i="2"/>
  <c r="U101" i="2"/>
  <c r="O101" i="2"/>
  <c r="P101" i="2" s="1"/>
  <c r="AA100" i="2"/>
  <c r="Z100" i="2"/>
  <c r="Y100" i="2"/>
  <c r="X100" i="2"/>
  <c r="W100" i="2"/>
  <c r="V100" i="2"/>
  <c r="U100" i="2"/>
  <c r="P100" i="2"/>
  <c r="O100" i="2"/>
  <c r="AA99" i="2"/>
  <c r="Z99" i="2"/>
  <c r="Y99" i="2"/>
  <c r="X99" i="2"/>
  <c r="W99" i="2"/>
  <c r="V99" i="2"/>
  <c r="U99" i="2"/>
  <c r="O99" i="2"/>
  <c r="P99" i="2" s="1"/>
  <c r="AA98" i="2"/>
  <c r="Z98" i="2"/>
  <c r="Y98" i="2"/>
  <c r="X98" i="2"/>
  <c r="W98" i="2"/>
  <c r="V98" i="2"/>
  <c r="U98" i="2"/>
  <c r="O98" i="2"/>
  <c r="P98" i="2" s="1"/>
  <c r="AA97" i="2"/>
  <c r="Z97" i="2"/>
  <c r="Y97" i="2"/>
  <c r="X97" i="2"/>
  <c r="W97" i="2"/>
  <c r="V97" i="2"/>
  <c r="U97" i="2"/>
  <c r="O97" i="2"/>
  <c r="P97" i="2" s="1"/>
  <c r="AA96" i="2"/>
  <c r="Z96" i="2"/>
  <c r="Y96" i="2"/>
  <c r="X96" i="2"/>
  <c r="W96" i="2"/>
  <c r="V96" i="2"/>
  <c r="U96" i="2"/>
  <c r="P96" i="2"/>
  <c r="O96" i="2"/>
  <c r="AA95" i="2"/>
  <c r="Z95" i="2"/>
  <c r="Y95" i="2"/>
  <c r="X95" i="2"/>
  <c r="W95" i="2"/>
  <c r="V95" i="2"/>
  <c r="U95" i="2"/>
  <c r="P95" i="2"/>
  <c r="O95" i="2"/>
  <c r="AA94" i="2"/>
  <c r="Z94" i="2"/>
  <c r="Y94" i="2"/>
  <c r="X94" i="2"/>
  <c r="W94" i="2"/>
  <c r="V94" i="2"/>
  <c r="U94" i="2"/>
  <c r="P94" i="2"/>
  <c r="O94" i="2"/>
  <c r="AA93" i="2"/>
  <c r="Z93" i="2"/>
  <c r="Y93" i="2"/>
  <c r="X93" i="2"/>
  <c r="W93" i="2"/>
  <c r="V93" i="2"/>
  <c r="U93" i="2"/>
  <c r="O93" i="2"/>
  <c r="P93" i="2" s="1"/>
  <c r="AA92" i="2"/>
  <c r="Z92" i="2"/>
  <c r="Y92" i="2"/>
  <c r="X92" i="2"/>
  <c r="W92" i="2"/>
  <c r="V92" i="2"/>
  <c r="U92" i="2"/>
  <c r="O92" i="2"/>
  <c r="P92" i="2" s="1"/>
  <c r="AA91" i="2"/>
  <c r="Z91" i="2"/>
  <c r="Y91" i="2"/>
  <c r="X91" i="2"/>
  <c r="W91" i="2"/>
  <c r="V91" i="2"/>
  <c r="U91" i="2"/>
  <c r="O91" i="2"/>
  <c r="P91" i="2" s="1"/>
  <c r="AA90" i="2"/>
  <c r="Z90" i="2"/>
  <c r="Y90" i="2"/>
  <c r="X90" i="2"/>
  <c r="W90" i="2"/>
  <c r="V90" i="2"/>
  <c r="U90" i="2"/>
  <c r="P90" i="2"/>
  <c r="O90" i="2"/>
  <c r="AA89" i="2"/>
  <c r="Z89" i="2"/>
  <c r="Y89" i="2"/>
  <c r="X89" i="2"/>
  <c r="W89" i="2"/>
  <c r="V89" i="2"/>
  <c r="U89" i="2"/>
  <c r="O89" i="2"/>
  <c r="P89" i="2" s="1"/>
  <c r="AA88" i="2"/>
  <c r="Z88" i="2"/>
  <c r="Y88" i="2"/>
  <c r="X88" i="2"/>
  <c r="W88" i="2"/>
  <c r="V88" i="2"/>
  <c r="U88" i="2"/>
  <c r="O88" i="2"/>
  <c r="P88" i="2" s="1"/>
  <c r="AA87" i="2"/>
  <c r="Z87" i="2"/>
  <c r="Y87" i="2"/>
  <c r="X87" i="2"/>
  <c r="W87" i="2"/>
  <c r="V87" i="2"/>
  <c r="U87" i="2"/>
  <c r="O87" i="2"/>
  <c r="P87" i="2" s="1"/>
  <c r="AA86" i="2"/>
  <c r="Z86" i="2"/>
  <c r="Y86" i="2"/>
  <c r="X86" i="2"/>
  <c r="W86" i="2"/>
  <c r="V86" i="2"/>
  <c r="U86" i="2"/>
  <c r="O86" i="2"/>
  <c r="P86" i="2" s="1"/>
  <c r="AA85" i="2"/>
  <c r="Z85" i="2"/>
  <c r="Y85" i="2"/>
  <c r="X85" i="2"/>
  <c r="W85" i="2"/>
  <c r="V85" i="2"/>
  <c r="U85" i="2"/>
  <c r="O85" i="2"/>
  <c r="P85" i="2" s="1"/>
  <c r="AA84" i="2"/>
  <c r="Z84" i="2"/>
  <c r="Y84" i="2"/>
  <c r="X84" i="2"/>
  <c r="W84" i="2"/>
  <c r="V84" i="2"/>
  <c r="U84" i="2"/>
  <c r="P84" i="2"/>
  <c r="O84" i="2"/>
  <c r="AA83" i="2"/>
  <c r="Z83" i="2"/>
  <c r="Y83" i="2"/>
  <c r="X83" i="2"/>
  <c r="W83" i="2"/>
  <c r="V83" i="2"/>
  <c r="U83" i="2"/>
  <c r="O83" i="2"/>
  <c r="P83" i="2" s="1"/>
  <c r="AA82" i="2"/>
  <c r="Z82" i="2"/>
  <c r="Y82" i="2"/>
  <c r="X82" i="2"/>
  <c r="W82" i="2"/>
  <c r="V82" i="2"/>
  <c r="U82" i="2"/>
  <c r="O82" i="2"/>
  <c r="P82" i="2" s="1"/>
  <c r="AA81" i="2"/>
  <c r="Z81" i="2"/>
  <c r="Y81" i="2"/>
  <c r="X81" i="2"/>
  <c r="W81" i="2"/>
  <c r="V81" i="2"/>
  <c r="U81" i="2"/>
  <c r="O81" i="2"/>
  <c r="P81" i="2" s="1"/>
  <c r="AA80" i="2"/>
  <c r="Z80" i="2"/>
  <c r="Y80" i="2"/>
  <c r="X80" i="2"/>
  <c r="W80" i="2"/>
  <c r="V80" i="2"/>
  <c r="U80" i="2"/>
  <c r="P80" i="2"/>
  <c r="O80" i="2"/>
  <c r="AA79" i="2"/>
  <c r="Z79" i="2"/>
  <c r="Y79" i="2"/>
  <c r="X79" i="2"/>
  <c r="W79" i="2"/>
  <c r="V79" i="2"/>
  <c r="U79" i="2"/>
  <c r="P79" i="2"/>
  <c r="O79" i="2"/>
  <c r="AA78" i="2"/>
  <c r="Z78" i="2"/>
  <c r="Y78" i="2"/>
  <c r="X78" i="2"/>
  <c r="W78" i="2"/>
  <c r="V78" i="2"/>
  <c r="U78" i="2"/>
  <c r="P78" i="2"/>
  <c r="O78" i="2"/>
  <c r="AA77" i="2"/>
  <c r="Z77" i="2"/>
  <c r="Y77" i="2"/>
  <c r="X77" i="2"/>
  <c r="W77" i="2"/>
  <c r="V77" i="2"/>
  <c r="U77" i="2"/>
  <c r="O77" i="2"/>
  <c r="P77" i="2" s="1"/>
  <c r="AA76" i="2"/>
  <c r="Z76" i="2"/>
  <c r="Y76" i="2"/>
  <c r="X76" i="2"/>
  <c r="W76" i="2"/>
  <c r="V76" i="2"/>
  <c r="U76" i="2"/>
  <c r="O76" i="2"/>
  <c r="P76" i="2" s="1"/>
  <c r="AA75" i="2"/>
  <c r="Z75" i="2"/>
  <c r="Y75" i="2"/>
  <c r="X75" i="2"/>
  <c r="W75" i="2"/>
  <c r="V75" i="2"/>
  <c r="U75" i="2"/>
  <c r="O75" i="2"/>
  <c r="P75" i="2" s="1"/>
  <c r="AA74" i="2"/>
  <c r="Z74" i="2"/>
  <c r="Y74" i="2"/>
  <c r="X74" i="2"/>
  <c r="W74" i="2"/>
  <c r="V74" i="2"/>
  <c r="U74" i="2"/>
  <c r="P74" i="2"/>
  <c r="O74" i="2"/>
  <c r="AA73" i="2"/>
  <c r="Z73" i="2"/>
  <c r="Y73" i="2"/>
  <c r="X73" i="2"/>
  <c r="W73" i="2"/>
  <c r="V73" i="2"/>
  <c r="U73" i="2"/>
  <c r="O73" i="2"/>
  <c r="P73" i="2" s="1"/>
  <c r="AA72" i="2"/>
  <c r="Z72" i="2"/>
  <c r="Y72" i="2"/>
  <c r="X72" i="2"/>
  <c r="W72" i="2"/>
  <c r="V72" i="2"/>
  <c r="U72" i="2"/>
  <c r="O72" i="2"/>
  <c r="P72" i="2" s="1"/>
  <c r="AA71" i="2"/>
  <c r="Z71" i="2"/>
  <c r="Y71" i="2"/>
  <c r="X71" i="2"/>
  <c r="W71" i="2"/>
  <c r="V71" i="2"/>
  <c r="U71" i="2"/>
  <c r="O71" i="2"/>
  <c r="P71" i="2" s="1"/>
  <c r="AA70" i="2"/>
  <c r="Z70" i="2"/>
  <c r="Y70" i="2"/>
  <c r="X70" i="2"/>
  <c r="W70" i="2"/>
  <c r="V70" i="2"/>
  <c r="U70" i="2"/>
  <c r="O70" i="2"/>
  <c r="P70" i="2" s="1"/>
  <c r="AA69" i="2"/>
  <c r="Z69" i="2"/>
  <c r="Y69" i="2"/>
  <c r="X69" i="2"/>
  <c r="W69" i="2"/>
  <c r="V69" i="2"/>
  <c r="U69" i="2"/>
  <c r="O69" i="2"/>
  <c r="P69" i="2" s="1"/>
  <c r="AA68" i="2"/>
  <c r="Z68" i="2"/>
  <c r="Y68" i="2"/>
  <c r="X68" i="2"/>
  <c r="W68" i="2"/>
  <c r="V68" i="2"/>
  <c r="U68" i="2"/>
  <c r="P68" i="2"/>
  <c r="O68" i="2"/>
  <c r="AA67" i="2"/>
  <c r="Z67" i="2"/>
  <c r="Y67" i="2"/>
  <c r="X67" i="2"/>
  <c r="W67" i="2"/>
  <c r="V67" i="2"/>
  <c r="U67" i="2"/>
  <c r="O67" i="2"/>
  <c r="P67" i="2" s="1"/>
  <c r="AA66" i="2"/>
  <c r="Z66" i="2"/>
  <c r="Y66" i="2"/>
  <c r="X66" i="2"/>
  <c r="W66" i="2"/>
  <c r="V66" i="2"/>
  <c r="U66" i="2"/>
  <c r="O66" i="2"/>
  <c r="P66" i="2" s="1"/>
  <c r="AA65" i="2"/>
  <c r="Z65" i="2"/>
  <c r="Y65" i="2"/>
  <c r="X65" i="2"/>
  <c r="W65" i="2"/>
  <c r="V65" i="2"/>
  <c r="U65" i="2"/>
  <c r="O65" i="2"/>
  <c r="P65" i="2" s="1"/>
  <c r="AA64" i="2"/>
  <c r="Z64" i="2"/>
  <c r="Y64" i="2"/>
  <c r="X64" i="2"/>
  <c r="W64" i="2"/>
  <c r="V64" i="2"/>
  <c r="U64" i="2"/>
  <c r="P64" i="2"/>
  <c r="O64" i="2"/>
  <c r="AA63" i="2"/>
  <c r="Z63" i="2"/>
  <c r="Y63" i="2"/>
  <c r="X63" i="2"/>
  <c r="W63" i="2"/>
  <c r="V63" i="2"/>
  <c r="U63" i="2"/>
  <c r="P63" i="2"/>
  <c r="O63" i="2"/>
  <c r="AA62" i="2"/>
  <c r="Z62" i="2"/>
  <c r="Y62" i="2"/>
  <c r="X62" i="2"/>
  <c r="W62" i="2"/>
  <c r="V62" i="2"/>
  <c r="U62" i="2"/>
  <c r="P62" i="2"/>
  <c r="O62" i="2"/>
  <c r="AA61" i="2"/>
  <c r="Z61" i="2"/>
  <c r="Y61" i="2"/>
  <c r="X61" i="2"/>
  <c r="W61" i="2"/>
  <c r="V61" i="2"/>
  <c r="U61" i="2"/>
  <c r="O61" i="2"/>
  <c r="P61" i="2" s="1"/>
  <c r="AA60" i="2"/>
  <c r="Z60" i="2"/>
  <c r="Y60" i="2"/>
  <c r="X60" i="2"/>
  <c r="W60" i="2"/>
  <c r="V60" i="2"/>
  <c r="U60" i="2"/>
  <c r="O60" i="2"/>
  <c r="P60" i="2" s="1"/>
  <c r="AA59" i="2"/>
  <c r="Z59" i="2"/>
  <c r="Y59" i="2"/>
  <c r="X59" i="2"/>
  <c r="W59" i="2"/>
  <c r="V59" i="2"/>
  <c r="U59" i="2"/>
  <c r="O59" i="2"/>
  <c r="P59" i="2" s="1"/>
  <c r="AA58" i="2"/>
  <c r="Z58" i="2"/>
  <c r="Y58" i="2"/>
  <c r="X58" i="2"/>
  <c r="W58" i="2"/>
  <c r="V58" i="2"/>
  <c r="U58" i="2"/>
  <c r="P58" i="2"/>
  <c r="O58" i="2"/>
  <c r="AA57" i="2"/>
  <c r="Z57" i="2"/>
  <c r="Y57" i="2"/>
  <c r="X57" i="2"/>
  <c r="W57" i="2"/>
  <c r="V57" i="2"/>
  <c r="U57" i="2"/>
  <c r="O57" i="2"/>
  <c r="P57" i="2" s="1"/>
  <c r="AA56" i="2"/>
  <c r="Z56" i="2"/>
  <c r="Y56" i="2"/>
  <c r="X56" i="2"/>
  <c r="W56" i="2"/>
  <c r="V56" i="2"/>
  <c r="U56" i="2"/>
  <c r="O56" i="2"/>
  <c r="P56" i="2" s="1"/>
  <c r="AA55" i="2"/>
  <c r="Z55" i="2"/>
  <c r="Y55" i="2"/>
  <c r="X55" i="2"/>
  <c r="W55" i="2"/>
  <c r="V55" i="2"/>
  <c r="U55" i="2"/>
  <c r="O55" i="2"/>
  <c r="P55" i="2" s="1"/>
  <c r="AA54" i="2"/>
  <c r="Z54" i="2"/>
  <c r="Y54" i="2"/>
  <c r="X54" i="2"/>
  <c r="W54" i="2"/>
  <c r="V54" i="2"/>
  <c r="U54" i="2"/>
  <c r="O54" i="2"/>
  <c r="P54" i="2" s="1"/>
  <c r="AA53" i="2"/>
  <c r="Z53" i="2"/>
  <c r="Y53" i="2"/>
  <c r="X53" i="2"/>
  <c r="W53" i="2"/>
  <c r="V53" i="2"/>
  <c r="U53" i="2"/>
  <c r="O53" i="2"/>
  <c r="P53" i="2" s="1"/>
  <c r="AA52" i="2"/>
  <c r="Z52" i="2"/>
  <c r="Y52" i="2"/>
  <c r="X52" i="2"/>
  <c r="W52" i="2"/>
  <c r="V52" i="2"/>
  <c r="U52" i="2"/>
  <c r="P52" i="2"/>
  <c r="O52" i="2"/>
  <c r="AA51" i="2"/>
  <c r="Z51" i="2"/>
  <c r="Y51" i="2"/>
  <c r="X51" i="2"/>
  <c r="W51" i="2"/>
  <c r="V51" i="2"/>
  <c r="U51" i="2"/>
  <c r="O51" i="2"/>
  <c r="P51" i="2" s="1"/>
  <c r="AA50" i="2"/>
  <c r="Z50" i="2"/>
  <c r="Y50" i="2"/>
  <c r="X50" i="2"/>
  <c r="W50" i="2"/>
  <c r="V50" i="2"/>
  <c r="U50" i="2"/>
  <c r="O50" i="2"/>
  <c r="P50" i="2" s="1"/>
  <c r="AA49" i="2"/>
  <c r="Z49" i="2"/>
  <c r="Y49" i="2"/>
  <c r="X49" i="2"/>
  <c r="W49" i="2"/>
  <c r="V49" i="2"/>
  <c r="U49" i="2"/>
  <c r="O49" i="2"/>
  <c r="P49" i="2" s="1"/>
  <c r="AA48" i="2"/>
  <c r="Z48" i="2"/>
  <c r="Y48" i="2"/>
  <c r="X48" i="2"/>
  <c r="W48" i="2"/>
  <c r="V48" i="2"/>
  <c r="U48" i="2"/>
  <c r="P48" i="2"/>
  <c r="O48" i="2"/>
  <c r="AA47" i="2"/>
  <c r="Z47" i="2"/>
  <c r="Y47" i="2"/>
  <c r="X47" i="2"/>
  <c r="W47" i="2"/>
  <c r="V47" i="2"/>
  <c r="U47" i="2"/>
  <c r="P47" i="2"/>
  <c r="O47" i="2"/>
  <c r="AA46" i="2"/>
  <c r="Z46" i="2"/>
  <c r="Y46" i="2"/>
  <c r="X46" i="2"/>
  <c r="W46" i="2"/>
  <c r="V46" i="2"/>
  <c r="U46" i="2"/>
  <c r="P46" i="2"/>
  <c r="O46" i="2"/>
  <c r="AA45" i="2"/>
  <c r="Z45" i="2"/>
  <c r="Y45" i="2"/>
  <c r="X45" i="2"/>
  <c r="W45" i="2"/>
  <c r="V45" i="2"/>
  <c r="U45" i="2"/>
  <c r="O45" i="2"/>
  <c r="P45" i="2" s="1"/>
  <c r="AA44" i="2"/>
  <c r="Z44" i="2"/>
  <c r="Y44" i="2"/>
  <c r="X44" i="2"/>
  <c r="W44" i="2"/>
  <c r="V44" i="2"/>
  <c r="U44" i="2"/>
  <c r="O44" i="2"/>
  <c r="P44" i="2" s="1"/>
  <c r="AA43" i="2"/>
  <c r="Z43" i="2"/>
  <c r="Y43" i="2"/>
  <c r="X43" i="2"/>
  <c r="W43" i="2"/>
  <c r="V43" i="2"/>
  <c r="U43" i="2"/>
  <c r="O43" i="2"/>
  <c r="P43" i="2" s="1"/>
  <c r="AA42" i="2"/>
  <c r="Z42" i="2"/>
  <c r="Y42" i="2"/>
  <c r="X42" i="2"/>
  <c r="W42" i="2"/>
  <c r="V42" i="2"/>
  <c r="U42" i="2"/>
  <c r="P42" i="2"/>
  <c r="O42" i="2"/>
  <c r="AA41" i="2"/>
  <c r="Z41" i="2"/>
  <c r="Y41" i="2"/>
  <c r="X41" i="2"/>
  <c r="W41" i="2"/>
  <c r="V41" i="2"/>
  <c r="U41" i="2"/>
  <c r="O41" i="2"/>
  <c r="P41" i="2" s="1"/>
  <c r="AA40" i="2"/>
  <c r="Z40" i="2"/>
  <c r="Y40" i="2"/>
  <c r="X40" i="2"/>
  <c r="W40" i="2"/>
  <c r="V40" i="2"/>
  <c r="U40" i="2"/>
  <c r="O40" i="2"/>
  <c r="P40" i="2" s="1"/>
  <c r="AA39" i="2"/>
  <c r="Z39" i="2"/>
  <c r="Y39" i="2"/>
  <c r="X39" i="2"/>
  <c r="W39" i="2"/>
  <c r="V39" i="2"/>
  <c r="U39" i="2"/>
  <c r="O39" i="2"/>
  <c r="P39" i="2" s="1"/>
  <c r="AA38" i="2"/>
  <c r="Z38" i="2"/>
  <c r="Y38" i="2"/>
  <c r="X38" i="2"/>
  <c r="W38" i="2"/>
  <c r="V38" i="2"/>
  <c r="U38" i="2"/>
  <c r="O38" i="2"/>
  <c r="P38" i="2" s="1"/>
  <c r="AA37" i="2"/>
  <c r="Z37" i="2"/>
  <c r="Y37" i="2"/>
  <c r="X37" i="2"/>
  <c r="W37" i="2"/>
  <c r="V37" i="2"/>
  <c r="U37" i="2"/>
  <c r="O37" i="2"/>
  <c r="P37" i="2" s="1"/>
  <c r="AA36" i="2"/>
  <c r="Z36" i="2"/>
  <c r="Y36" i="2"/>
  <c r="X36" i="2"/>
  <c r="W36" i="2"/>
  <c r="V36" i="2"/>
  <c r="U36" i="2"/>
  <c r="P36" i="2"/>
  <c r="O36" i="2"/>
  <c r="AA35" i="2"/>
  <c r="Z35" i="2"/>
  <c r="Y35" i="2"/>
  <c r="X35" i="2"/>
  <c r="W35" i="2"/>
  <c r="V35" i="2"/>
  <c r="U35" i="2"/>
  <c r="O35" i="2"/>
  <c r="P35" i="2" s="1"/>
  <c r="AA34" i="2"/>
  <c r="Z34" i="2"/>
  <c r="Y34" i="2"/>
  <c r="X34" i="2"/>
  <c r="W34" i="2"/>
  <c r="V34" i="2"/>
  <c r="U34" i="2"/>
  <c r="O34" i="2"/>
  <c r="P34" i="2" s="1"/>
  <c r="AA33" i="2"/>
  <c r="Z33" i="2"/>
  <c r="Y33" i="2"/>
  <c r="X33" i="2"/>
  <c r="W33" i="2"/>
  <c r="V33" i="2"/>
  <c r="U33" i="2"/>
  <c r="O33" i="2"/>
  <c r="P33" i="2" s="1"/>
  <c r="AA32" i="2"/>
  <c r="Z32" i="2"/>
  <c r="Y32" i="2"/>
  <c r="X32" i="2"/>
  <c r="W32" i="2"/>
  <c r="V32" i="2"/>
  <c r="U32" i="2"/>
  <c r="P32" i="2"/>
  <c r="O32" i="2"/>
  <c r="AA31" i="2"/>
  <c r="Z31" i="2"/>
  <c r="Y31" i="2"/>
  <c r="X31" i="2"/>
  <c r="W31" i="2"/>
  <c r="V31" i="2"/>
  <c r="U31" i="2"/>
  <c r="P31" i="2"/>
  <c r="O31" i="2"/>
  <c r="AA30" i="2"/>
  <c r="Z30" i="2"/>
  <c r="Y30" i="2"/>
  <c r="X30" i="2"/>
  <c r="W30" i="2"/>
  <c r="V30" i="2"/>
  <c r="U30" i="2"/>
  <c r="P30" i="2"/>
  <c r="O30" i="2"/>
  <c r="AA29" i="2"/>
  <c r="Z29" i="2"/>
  <c r="Y29" i="2"/>
  <c r="X29" i="2"/>
  <c r="W29" i="2"/>
  <c r="V29" i="2"/>
  <c r="U29" i="2"/>
  <c r="O29" i="2"/>
  <c r="P29" i="2" s="1"/>
  <c r="AA28" i="2"/>
  <c r="Z28" i="2"/>
  <c r="Y28" i="2"/>
  <c r="X28" i="2"/>
  <c r="W28" i="2"/>
  <c r="V28" i="2"/>
  <c r="U28" i="2"/>
  <c r="O28" i="2"/>
  <c r="P28" i="2" s="1"/>
  <c r="AA27" i="2"/>
  <c r="Z27" i="2"/>
  <c r="Y27" i="2"/>
  <c r="X27" i="2"/>
  <c r="W27" i="2"/>
  <c r="V27" i="2"/>
  <c r="U27" i="2"/>
  <c r="O27" i="2"/>
  <c r="P27" i="2" s="1"/>
  <c r="AA26" i="2"/>
  <c r="Z26" i="2"/>
  <c r="Y26" i="2"/>
  <c r="X26" i="2"/>
  <c r="W26" i="2"/>
  <c r="V26" i="2"/>
  <c r="U26" i="2"/>
  <c r="P26" i="2"/>
  <c r="O26" i="2"/>
  <c r="AA25" i="2"/>
  <c r="Z25" i="2"/>
  <c r="Y25" i="2"/>
  <c r="X25" i="2"/>
  <c r="W25" i="2"/>
  <c r="V25" i="2"/>
  <c r="U25" i="2"/>
  <c r="O25" i="2"/>
  <c r="P25" i="2" s="1"/>
  <c r="AA24" i="2"/>
  <c r="Z24" i="2"/>
  <c r="Y24" i="2"/>
  <c r="X24" i="2"/>
  <c r="W24" i="2"/>
  <c r="V24" i="2"/>
  <c r="U24" i="2"/>
  <c r="O24" i="2"/>
  <c r="P24" i="2" s="1"/>
  <c r="AA23" i="2"/>
  <c r="Z23" i="2"/>
  <c r="Y23" i="2"/>
  <c r="X23" i="2"/>
  <c r="W23" i="2"/>
  <c r="V23" i="2"/>
  <c r="U23" i="2"/>
  <c r="O23" i="2"/>
  <c r="P23" i="2" s="1"/>
  <c r="AA22" i="2"/>
  <c r="Z22" i="2"/>
  <c r="Y22" i="2"/>
  <c r="X22" i="2"/>
  <c r="W22" i="2"/>
  <c r="V22" i="2"/>
  <c r="U22" i="2"/>
  <c r="O22" i="2"/>
  <c r="P22" i="2" s="1"/>
  <c r="AA21" i="2"/>
  <c r="Z21" i="2"/>
  <c r="Y21" i="2"/>
  <c r="X21" i="2"/>
  <c r="W21" i="2"/>
  <c r="V21" i="2"/>
  <c r="U21" i="2"/>
  <c r="O21" i="2"/>
  <c r="P21" i="2" s="1"/>
  <c r="AA20" i="2"/>
  <c r="S6" i="3" s="1"/>
  <c r="Z20" i="2"/>
  <c r="Y20" i="2"/>
  <c r="Q6" i="3" s="1"/>
  <c r="X20" i="2"/>
  <c r="P6" i="3" s="1"/>
  <c r="W20" i="2"/>
  <c r="V20" i="2"/>
  <c r="N6" i="3" s="1"/>
  <c r="U20" i="2"/>
  <c r="O20" i="2"/>
  <c r="P20" i="2" s="1"/>
  <c r="L6" i="3" s="1"/>
  <c r="AA19" i="2"/>
  <c r="Z19" i="2"/>
  <c r="Y19" i="2"/>
  <c r="X19" i="2"/>
  <c r="W19" i="2"/>
  <c r="V19" i="2"/>
  <c r="U19" i="2"/>
  <c r="O19" i="2"/>
  <c r="P19" i="2" s="1"/>
  <c r="AA18" i="2"/>
  <c r="Z18" i="2"/>
  <c r="Y18" i="2"/>
  <c r="X18" i="2"/>
  <c r="W18" i="2"/>
  <c r="V18" i="2"/>
  <c r="U18" i="2"/>
  <c r="O18" i="2"/>
  <c r="P18" i="2" s="1"/>
  <c r="AA17" i="2"/>
  <c r="Z17" i="2"/>
  <c r="Y17" i="2"/>
  <c r="X17" i="2"/>
  <c r="W17" i="2"/>
  <c r="V17" i="2"/>
  <c r="U17" i="2"/>
  <c r="O17" i="2"/>
  <c r="P17" i="2" s="1"/>
  <c r="AA16" i="2"/>
  <c r="Z16" i="2"/>
  <c r="Y16" i="2"/>
  <c r="X16" i="2"/>
  <c r="W16" i="2"/>
  <c r="V16" i="2"/>
  <c r="U16" i="2"/>
  <c r="O16" i="2"/>
  <c r="P16" i="2" s="1"/>
  <c r="AA15" i="2"/>
  <c r="S8" i="3" s="1"/>
  <c r="Z15" i="2"/>
  <c r="R8" i="3" s="1"/>
  <c r="Y15" i="2"/>
  <c r="Q8" i="3" s="1"/>
  <c r="X15" i="2"/>
  <c r="P8" i="3" s="1"/>
  <c r="W15" i="2"/>
  <c r="O8" i="3" s="1"/>
  <c r="V15" i="2"/>
  <c r="N8" i="3" s="1"/>
  <c r="U15" i="2"/>
  <c r="M8" i="3" s="1"/>
  <c r="O15" i="2"/>
  <c r="P15" i="2" s="1"/>
  <c r="L8" i="3" s="1"/>
  <c r="AA14" i="2"/>
  <c r="Z14" i="2"/>
  <c r="Y14" i="2"/>
  <c r="X14" i="2"/>
  <c r="W14" i="2"/>
  <c r="V14" i="2"/>
  <c r="U14" i="2"/>
  <c r="P14" i="2"/>
  <c r="O14" i="2"/>
  <c r="AA13" i="2"/>
  <c r="Z13" i="2"/>
  <c r="Y13" i="2"/>
  <c r="X13" i="2"/>
  <c r="W13" i="2"/>
  <c r="V13" i="2"/>
  <c r="U13" i="2"/>
  <c r="O13" i="2"/>
  <c r="P13" i="2" s="1"/>
  <c r="AA12" i="2"/>
  <c r="Z12" i="2"/>
  <c r="Y12" i="2"/>
  <c r="X12" i="2"/>
  <c r="W12" i="2"/>
  <c r="V12" i="2"/>
  <c r="U12" i="2"/>
  <c r="O12" i="2"/>
  <c r="P12" i="2" s="1"/>
  <c r="AA11" i="2"/>
  <c r="Z11" i="2"/>
  <c r="Y11" i="2"/>
  <c r="X11" i="2"/>
  <c r="W11" i="2"/>
  <c r="V11" i="2"/>
  <c r="U11" i="2"/>
  <c r="O11" i="2"/>
  <c r="P11" i="2" s="1"/>
  <c r="AA10" i="2"/>
  <c r="Z10" i="2"/>
  <c r="Y10" i="2"/>
  <c r="X10" i="2"/>
  <c r="W10" i="2"/>
  <c r="V10" i="2"/>
  <c r="U10" i="2"/>
  <c r="O10" i="2"/>
  <c r="P10" i="2" s="1"/>
  <c r="AA9" i="2"/>
  <c r="Z9" i="2"/>
  <c r="Y9" i="2"/>
  <c r="X9" i="2"/>
  <c r="W9" i="2"/>
  <c r="V9" i="2"/>
  <c r="U9" i="2"/>
  <c r="O9" i="2"/>
  <c r="P9" i="2" s="1"/>
  <c r="AA8" i="2"/>
  <c r="Z8" i="2"/>
  <c r="Y8" i="2"/>
  <c r="X8" i="2"/>
  <c r="W8" i="2"/>
  <c r="V8" i="2"/>
  <c r="U8" i="2"/>
  <c r="O8" i="2"/>
  <c r="P8" i="2" s="1"/>
  <c r="AA7" i="2"/>
  <c r="S5" i="3" s="1"/>
  <c r="Z7" i="2"/>
  <c r="R5" i="3" s="1"/>
  <c r="Y7" i="2"/>
  <c r="Q5" i="3" s="1"/>
  <c r="X7" i="2"/>
  <c r="P5" i="3" s="1"/>
  <c r="W7" i="2"/>
  <c r="O5" i="3" s="1"/>
  <c r="V7" i="2"/>
  <c r="N5" i="3" s="1"/>
  <c r="U7" i="2"/>
  <c r="M5" i="3" s="1"/>
  <c r="O7" i="2"/>
  <c r="P7" i="2" s="1"/>
  <c r="L5" i="3" s="1"/>
  <c r="AA6" i="2"/>
  <c r="Z6" i="2"/>
  <c r="Y6" i="2"/>
  <c r="X6" i="2"/>
  <c r="W6" i="2"/>
  <c r="V6" i="2"/>
  <c r="U6" i="2"/>
  <c r="O6" i="2"/>
  <c r="P6" i="2" s="1"/>
  <c r="AA5" i="2"/>
  <c r="Z5" i="2"/>
  <c r="Y5" i="2"/>
  <c r="X5" i="2"/>
  <c r="W5" i="2"/>
  <c r="V5" i="2"/>
  <c r="U5" i="2"/>
  <c r="O5" i="2"/>
  <c r="P5" i="2" s="1"/>
</calcChain>
</file>

<file path=xl/sharedStrings.xml><?xml version="1.0" encoding="utf-8"?>
<sst xmlns="http://schemas.openxmlformats.org/spreadsheetml/2006/main" count="628" uniqueCount="227">
  <si>
    <t>Idle Heroes Event Floors &amp; Rewards</t>
  </si>
  <si>
    <t>Legend</t>
  </si>
  <si>
    <t>Reward Cost Lookup</t>
  </si>
  <si>
    <t>Floor</t>
  </si>
  <si>
    <t>Reward 1</t>
  </si>
  <si>
    <t>Reward 2</t>
  </si>
  <si>
    <t>Reward 3</t>
  </si>
  <si>
    <t>Reward Type</t>
  </si>
  <si>
    <t>Color</t>
  </si>
  <si>
    <t>Notes</t>
  </si>
  <si>
    <t>Floor Header</t>
  </si>
  <si>
    <t>Reward</t>
  </si>
  <si>
    <t>Cost</t>
  </si>
  <si>
    <t>Artifacts</t>
  </si>
  <si>
    <t>Void</t>
  </si>
  <si>
    <t>Origin</t>
  </si>
  <si>
    <t>Floor 1</t>
  </si>
  <si>
    <t>DT</t>
  </si>
  <si>
    <t>Also called Destiny</t>
  </si>
  <si>
    <t>Origin Artifacts</t>
  </si>
  <si>
    <t>Star Soul</t>
  </si>
  <si>
    <t>Floor 2</t>
  </si>
  <si>
    <t>Orange reward type</t>
  </si>
  <si>
    <t>Grim</t>
  </si>
  <si>
    <t>Floor 3</t>
  </si>
  <si>
    <t>Discounted</t>
  </si>
  <si>
    <t>Gold thick border = cost 5</t>
  </si>
  <si>
    <t>Floor 4</t>
  </si>
  <si>
    <t>13 - Free</t>
  </si>
  <si>
    <t>Any reward type for free after completing floors 1–12</t>
  </si>
  <si>
    <t>Floor 5</t>
  </si>
  <si>
    <t>Gold thick border = discounted reward, cost 5</t>
  </si>
  <si>
    <t>Floor 7 corrected: Grim is normal cost; only Origin is discounted. Floor 13 Free costs 0.</t>
  </si>
  <si>
    <t>Floor 6</t>
  </si>
  <si>
    <t>Floor 7</t>
  </si>
  <si>
    <t>Floor 8</t>
  </si>
  <si>
    <t>Floor 9</t>
  </si>
  <si>
    <t>Floor 10</t>
  </si>
  <si>
    <t>Floor 11</t>
  </si>
  <si>
    <t>Floor 12</t>
  </si>
  <si>
    <t>Floor 13 - Free</t>
  </si>
  <si>
    <t>Idle Heroes Event Option Planner</t>
  </si>
  <si>
    <t>Cost Settings</t>
  </si>
  <si>
    <t>Pick one reward per floor using the dropdowns. Normal rewards cost 10, discounted rewards cost 5, and Floor 13 - Free costs 0 after completing floors 1–12.</t>
  </si>
  <si>
    <t>Normal</t>
  </si>
  <si>
    <t>Option</t>
  </si>
  <si>
    <t>Total Cost</t>
  </si>
  <si>
    <t>SG Cost</t>
  </si>
  <si>
    <t>Floor 13 Free</t>
  </si>
  <si>
    <t>Reward Counts</t>
  </si>
  <si>
    <t>Option 1</t>
  </si>
  <si>
    <t>Option 2</t>
  </si>
  <si>
    <t>SG Cost Table</t>
  </si>
  <si>
    <t>Option 3</t>
  </si>
  <si>
    <t>Total Cost &lt;=</t>
  </si>
  <si>
    <t>Option 4</t>
  </si>
  <si>
    <t>Option 5</t>
  </si>
  <si>
    <t>Option 6</t>
  </si>
  <si>
    <t>Option 7</t>
  </si>
  <si>
    <t>Option 8</t>
  </si>
  <si>
    <t>Option 9</t>
  </si>
  <si>
    <t>Option 10</t>
  </si>
  <si>
    <t>Option 11</t>
  </si>
  <si>
    <t>Option 12</t>
  </si>
  <si>
    <t>Option 13</t>
  </si>
  <si>
    <t>Option 14</t>
  </si>
  <si>
    <t>Option 15</t>
  </si>
  <si>
    <t>Option 16</t>
  </si>
  <si>
    <t>Option 17</t>
  </si>
  <si>
    <t>Option 18</t>
  </si>
  <si>
    <t>Option 19</t>
  </si>
  <si>
    <t>Option 20</t>
  </si>
  <si>
    <t>Option 21</t>
  </si>
  <si>
    <t>Option 22</t>
  </si>
  <si>
    <t>Option 23</t>
  </si>
  <si>
    <t>Option 24</t>
  </si>
  <si>
    <t>Option 25</t>
  </si>
  <si>
    <t>Option 26</t>
  </si>
  <si>
    <t>Option 27</t>
  </si>
  <si>
    <t>Option 28</t>
  </si>
  <si>
    <t>Option 29</t>
  </si>
  <si>
    <t>Option 30</t>
  </si>
  <si>
    <t>Option 31</t>
  </si>
  <si>
    <t>Option 32</t>
  </si>
  <si>
    <t>Option 33</t>
  </si>
  <si>
    <t>Option 34</t>
  </si>
  <si>
    <t>Option 35</t>
  </si>
  <si>
    <t>Option 36</t>
  </si>
  <si>
    <t>Option 37</t>
  </si>
  <si>
    <t>Option 38</t>
  </si>
  <si>
    <t>Option 39</t>
  </si>
  <si>
    <t>Option 40</t>
  </si>
  <si>
    <t>Option 41</t>
  </si>
  <si>
    <t>Option 42</t>
  </si>
  <si>
    <t>Option 43</t>
  </si>
  <si>
    <t>Option 44</t>
  </si>
  <si>
    <t>Option 45</t>
  </si>
  <si>
    <t>Option 46</t>
  </si>
  <si>
    <t>Option 47</t>
  </si>
  <si>
    <t>Option 48</t>
  </si>
  <si>
    <t>Option 49</t>
  </si>
  <si>
    <t>Option 50</t>
  </si>
  <si>
    <t>Option 51</t>
  </si>
  <si>
    <t>Option 52</t>
  </si>
  <si>
    <t>Option 53</t>
  </si>
  <si>
    <t>Option 54</t>
  </si>
  <si>
    <t>Option 55</t>
  </si>
  <si>
    <t>Option 56</t>
  </si>
  <si>
    <t>Option 57</t>
  </si>
  <si>
    <t>Option 58</t>
  </si>
  <si>
    <t>Option 59</t>
  </si>
  <si>
    <t>Option 60</t>
  </si>
  <si>
    <t>Option 61</t>
  </si>
  <si>
    <t>Option 62</t>
  </si>
  <si>
    <t>Option 63</t>
  </si>
  <si>
    <t>Option 64</t>
  </si>
  <si>
    <t>Option 65</t>
  </si>
  <si>
    <t>Option 66</t>
  </si>
  <si>
    <t>Option 67</t>
  </si>
  <si>
    <t>Option 68</t>
  </si>
  <si>
    <t>Option 69</t>
  </si>
  <si>
    <t>Option 70</t>
  </si>
  <si>
    <t>Option 71</t>
  </si>
  <si>
    <t>Option 72</t>
  </si>
  <si>
    <t>Option 73</t>
  </si>
  <si>
    <t>Option 74</t>
  </si>
  <si>
    <t>Option 75</t>
  </si>
  <si>
    <t>Option 76</t>
  </si>
  <si>
    <t>Option 77</t>
  </si>
  <si>
    <t>Option 78</t>
  </si>
  <si>
    <t>Option 79</t>
  </si>
  <si>
    <t>Option 80</t>
  </si>
  <si>
    <t>Option 81</t>
  </si>
  <si>
    <t>Option 82</t>
  </si>
  <si>
    <t>Option 83</t>
  </si>
  <si>
    <t>Option 84</t>
  </si>
  <si>
    <t>Option 85</t>
  </si>
  <si>
    <t>Option 86</t>
  </si>
  <si>
    <t>Option 87</t>
  </si>
  <si>
    <t>Option 88</t>
  </si>
  <si>
    <t>Option 89</t>
  </si>
  <si>
    <t>Option 90</t>
  </si>
  <si>
    <t>Option 91</t>
  </si>
  <si>
    <t>Option 92</t>
  </si>
  <si>
    <t>Option 93</t>
  </si>
  <si>
    <t>Option 94</t>
  </si>
  <si>
    <t>Option 95</t>
  </si>
  <si>
    <t>Option 96</t>
  </si>
  <si>
    <t>Option 97</t>
  </si>
  <si>
    <t>Option 98</t>
  </si>
  <si>
    <t>Option 99</t>
  </si>
  <si>
    <t>Option 100</t>
  </si>
  <si>
    <t>Cases / Combo Planner</t>
  </si>
  <si>
    <t>Choose options from Sheet 2 and set the quantity. The sheet adds all rewards together and sums the SG cost of each selected option multiplied by Qty. Example: Case 1 uses Option 3 three times.</t>
  </si>
  <si>
    <t>Case</t>
  </si>
  <si>
    <t>Option slots</t>
  </si>
  <si>
    <t>Costs</t>
  </si>
  <si>
    <t>Cumulative Rewards</t>
  </si>
  <si>
    <t>Total SG Cost</t>
  </si>
  <si>
    <t>Case 9</t>
  </si>
  <si>
    <t>Case 10</t>
  </si>
  <si>
    <t>Case 11</t>
  </si>
  <si>
    <t>Case 12</t>
  </si>
  <si>
    <t>Case 13</t>
  </si>
  <si>
    <t>Case 14</t>
  </si>
  <si>
    <t>Case 19</t>
  </si>
  <si>
    <t>Case 20</t>
  </si>
  <si>
    <t>Case 21</t>
  </si>
  <si>
    <t>Case 26</t>
  </si>
  <si>
    <t>Case 27</t>
  </si>
  <si>
    <t>Case 28</t>
  </si>
  <si>
    <t>Case 29</t>
  </si>
  <si>
    <t>Case 30</t>
  </si>
  <si>
    <t>How to use</t>
  </si>
  <si>
    <t>Pick one or more options in the Option columns and enter how many times you want each option in Qty. The right side shows the total rewards and Total SG Cost.</t>
  </si>
  <si>
    <t>Pick one or more options in the Option columns and enter how many times you want each option in Qty. The right side shows total rewards and Total SG Cost only.</t>
  </si>
  <si>
    <t>Example shown: Case 1 = Option 3 x 3. Since Option 3 has SG Cost 0, the case Total SG Cost is 0.</t>
  </si>
  <si>
    <t>You can add up to five different options per case. Increase Qty to repeat the same option multiple times.</t>
  </si>
  <si>
    <t>weeks</t>
  </si>
  <si>
    <t>Balanced 45</t>
  </si>
  <si>
    <t>Grim Hunt</t>
  </si>
  <si>
    <t>Best Free</t>
  </si>
  <si>
    <t>Origin Art Hunt 1</t>
  </si>
  <si>
    <t>Origin Art Hunt 2</t>
  </si>
  <si>
    <t>Origin Hunt</t>
  </si>
  <si>
    <t>Balanced 65</t>
  </si>
  <si>
    <t>6 week Case 1</t>
  </si>
  <si>
    <t>6 week Case 2</t>
  </si>
  <si>
    <t>6 week Case 3</t>
  </si>
  <si>
    <t>6 week Case 4</t>
  </si>
  <si>
    <t>6 week Case 5</t>
  </si>
  <si>
    <t>6 week Case 6</t>
  </si>
  <si>
    <t>6 week Case 7</t>
  </si>
  <si>
    <t>6 week Case 8</t>
  </si>
  <si>
    <t xml:space="preserve"> </t>
  </si>
  <si>
    <t>DT hunt 55</t>
  </si>
  <si>
    <t>DT/ORIGIN Hunt</t>
  </si>
  <si>
    <t>Date</t>
  </si>
  <si>
    <t xml:space="preserve">Last year Events </t>
  </si>
  <si>
    <t>Anniversary</t>
  </si>
  <si>
    <t>abyssal bloom</t>
  </si>
  <si>
    <t>hibiscus flowres</t>
  </si>
  <si>
    <t>Mystery Boxes</t>
  </si>
  <si>
    <t>Scratch Ticket</t>
  </si>
  <si>
    <t>Event Priview</t>
  </si>
  <si>
    <t>Paper Lantern</t>
  </si>
  <si>
    <t>Extrovert Pumpkin</t>
  </si>
  <si>
    <t>Wheat Bouquet</t>
  </si>
  <si>
    <t xml:space="preserve">Christmas Eve Dream </t>
  </si>
  <si>
    <t>New Year Event</t>
  </si>
  <si>
    <t>Legacy Of Radiance</t>
  </si>
  <si>
    <t>Tail Travel</t>
  </si>
  <si>
    <t>CNY</t>
  </si>
  <si>
    <t>Journey of Purification</t>
  </si>
  <si>
    <t>Easter Event</t>
  </si>
  <si>
    <t>Vibrant Sea World</t>
  </si>
  <si>
    <t>Valiant Assault</t>
  </si>
  <si>
    <t>Last year</t>
  </si>
  <si>
    <t>Event Number</t>
  </si>
  <si>
    <t>12 weeks Case 15</t>
  </si>
  <si>
    <t>12 weeks Case 16</t>
  </si>
  <si>
    <t>12 weeks Case 17</t>
  </si>
  <si>
    <t>12 weeks Case 18</t>
  </si>
  <si>
    <t>17 weeks Case 22</t>
  </si>
  <si>
    <t>17 weeks Case 23</t>
  </si>
  <si>
    <t>17 weeks Case 24</t>
  </si>
  <si>
    <t>17 weeks Case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</si>
</sst>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name val="Carlito"/>
    </font>
    <font>
      <b/>
      <sz val="16"/>
      <color rgb="FFFFFFFF"/>
      <name val="Carlito"/>
    </font>
    <font>
      <b/>
      <sz val="11"/>
      <color rgb="FFFFFFFF"/>
      <name val="Carlito"/>
    </font>
    <font>
      <sz val="11"/>
      <color rgb="FF111827"/>
      <name val="Carlito"/>
    </font>
    <font>
      <b/>
      <sz val="11"/>
      <color rgb="FF111827"/>
      <name val="Carlito"/>
    </font>
    <font>
      <sz val="11"/>
      <color rgb="FF9A3412"/>
      <name val="Carlito"/>
    </font>
    <font>
      <sz val="11"/>
      <color rgb="FF1E3A8A"/>
      <name val="Carlito"/>
    </font>
    <font>
      <b/>
      <sz val="11"/>
      <color rgb="FF1E3A8A"/>
      <name val="Carlito"/>
    </font>
    <font>
      <sz val="11"/>
      <color rgb="FF92400E"/>
      <name val="Carlito"/>
    </font>
    <font>
      <b/>
      <sz val="11"/>
      <color rgb="FF92400E"/>
      <name val="Carlito"/>
    </font>
    <font>
      <sz val="11"/>
      <color rgb="FF166534"/>
      <name val="Carlito"/>
    </font>
    <font>
      <sz val="11"/>
      <color rgb="FF1E1B4B"/>
      <name val="Carlito"/>
    </font>
    <font>
      <sz val="11"/>
      <color rgb="FF581C87"/>
      <name val="Carlito"/>
    </font>
    <font>
      <b/>
      <sz val="11"/>
      <color rgb="FF166534"/>
      <name val="Carlito"/>
    </font>
    <font>
      <sz val="11"/>
      <color rgb="FF92400E"/>
      <name val="Carlito"/>
    </font>
    <font>
      <b/>
      <sz val="14"/>
      <color rgb="FFFFFFFF"/>
      <name val="Carlito"/>
    </font>
    <font>
      <b/>
      <sz val="11"/>
      <color rgb="FF1E1B4B"/>
      <name val="Carlito"/>
    </font>
    <font>
      <b/>
      <sz val="11"/>
      <color rgb="FF9A3412"/>
      <name val="Carlito"/>
    </font>
    <font>
      <b/>
      <sz val="11"/>
      <color rgb="FF581C87"/>
      <name val="Carlito"/>
    </font>
    <font>
      <i/>
      <sz val="11"/>
      <color rgb="FF1E3A8A"/>
      <name val="Carlito"/>
    </font>
    <font>
      <b/>
      <sz val="11"/>
      <name val="Carlito"/>
    </font>
    <font>
      <b/>
      <sz val="18"/>
      <color rgb="FFFFFFFF"/>
      <name val="Carlito"/>
    </font>
    <font>
      <i/>
      <sz val="11"/>
      <color rgb="FF0F172A"/>
      <name val="Carlito"/>
    </font>
    <font>
      <sz val="8"/>
      <name val="Carlito"/>
    </font>
    <font>
      <b/>
      <sz val="11"/>
      <color theme="2"/>
      <name val="Carlito"/>
      <charset val="238"/>
    </font>
    <font>
      <sz val="11"/>
      <name val="Calibri"/>
      <family val="2"/>
      <scheme val="minor"/>
    </font>
    <font>
      <sz val="10"/>
      <name val="Calibri"/>
      <family val="2"/>
      <scheme val="minor"/>
    </font>
    <font>
      <b/>
      <sz val="11"/>
      <name val="Calibri"/>
      <family val="2"/>
      <scheme val="minor"/>
    </font>
    <font>
      <i/>
      <sz val="10"/>
      <name val="Calibri"/>
      <family val="2"/>
      <scheme val="minor"/>
    </font>
    <font>
      <sz val="11"/>
      <name val="Calibri"/>
      <family val="2"/>
      <scheme val="major"/>
    </font>
    <font>
      <b/>
      <sz val="11"/>
      <name val="Calibri"/>
      <family val="2"/>
      <scheme val="major"/>
    </font>
  </fonts>
  <fills count="35">
    <fill>
      <patternFill patternType="none"/>
    </fill>
    <fill>
      <patternFill patternType="gray125"/>
    </fill>
    <fill>
      <patternFill patternType="solid">
        <fgColor rgb="FF1F4E79"/>
      </patternFill>
    </fill>
    <fill>
      <patternFill patternType="solid">
        <fgColor rgb="FF111827"/>
      </patternFill>
    </fill>
    <fill>
      <patternFill patternType="solid">
        <fgColor rgb="FFFDE68A"/>
      </patternFill>
    </fill>
    <fill>
      <patternFill patternType="solid">
        <fgColor rgb="FFFED7AA"/>
      </patternFill>
    </fill>
    <fill>
      <patternFill patternType="solid">
        <fgColor rgb="FFDDEBFF"/>
      </patternFill>
    </fill>
    <fill>
      <patternFill patternType="solid">
        <fgColor rgb="FFFFF3B0"/>
      </patternFill>
    </fill>
    <fill>
      <patternFill patternType="solid">
        <fgColor rgb="FFDCFCE7"/>
      </patternFill>
    </fill>
    <fill>
      <patternFill patternType="solid">
        <fgColor rgb="FFC7D2FE"/>
      </patternFill>
    </fill>
    <fill>
      <patternFill patternType="solid">
        <fgColor rgb="FFE9D5FF"/>
      </patternFill>
    </fill>
    <fill>
      <patternFill patternType="solid">
        <fgColor rgb="FFECFDF5"/>
      </patternFill>
    </fill>
    <fill>
      <patternFill patternType="solid">
        <fgColor rgb="FFFFFBEB"/>
      </patternFill>
    </fill>
    <fill>
      <patternFill patternType="solid">
        <fgColor rgb="FFFFFFFF"/>
      </patternFill>
    </fill>
    <fill>
      <patternFill patternType="solid">
        <fgColor rgb="FFEFF6FF"/>
      </patternFill>
    </fill>
    <fill>
      <patternFill patternType="solid">
        <fgColor rgb="FFF3F4F6"/>
      </patternFill>
    </fill>
    <fill>
      <patternFill patternType="solid">
        <fgColor rgb="FFF9FAFB"/>
      </patternFill>
    </fill>
    <fill>
      <patternFill patternType="solid">
        <fgColor rgb="FF166534"/>
      </patternFill>
    </fill>
    <fill>
      <patternFill patternType="solid">
        <fgColor rgb="FFF0FDF4"/>
      </patternFill>
    </fill>
    <fill>
      <patternFill patternType="solid">
        <fgColor rgb="FF1E3A8A"/>
      </patternFill>
    </fill>
    <fill>
      <patternFill patternType="solid">
        <fgColor rgb="FFDBEAFE"/>
      </patternFill>
    </fill>
    <fill>
      <patternFill patternType="solid">
        <fgColor rgb="FF0F172A"/>
      </patternFill>
    </fill>
    <fill>
      <patternFill patternType="solid">
        <fgColor rgb="FFE0F2FE"/>
      </patternFill>
    </fill>
    <fill>
      <patternFill patternType="solid">
        <fgColor rgb="FF334155"/>
      </patternFill>
    </fill>
    <fill>
      <patternFill patternType="solid">
        <fgColor rgb="FFF8FAFC"/>
      </patternFill>
    </fill>
    <fill>
      <patternFill patternType="solid">
        <fgColor rgb="FFF1F5F9"/>
      </patternFill>
    </fill>
    <fill>
      <patternFill patternType="solid">
        <fgColor rgb="FF475569"/>
      </patternFill>
    </fill>
    <fill>
      <patternFill patternType="solid">
        <fgColor theme="6" tint="0.7999816888943144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4"/>
        <bgColor indexed="64"/>
      </patternFill>
    </fill>
    <fill>
      <patternFill patternType="solid">
        <fgColor theme="1" tint="0.749992370372631"/>
        <bgColor indexed="64"/>
      </patternFill>
    </fill>
    <fill>
      <patternFill patternType="solid">
        <fgColor theme="2"/>
        <bgColor indexed="64"/>
      </patternFill>
    </fill>
  </fills>
  <borders count="51">
    <border>
      <left/>
      <right/>
      <top/>
      <bottom/>
      <diagonal/>
    </border>
    <border>
      <left style="thin">
        <color rgb="FF1F4E79"/>
      </left>
      <right/>
      <top style="thin">
        <color rgb="FF1F4E79"/>
      </top>
      <bottom style="thin">
        <color rgb="FF1F4E79"/>
      </bottom>
      <diagonal/>
    </border>
    <border>
      <left/>
      <right/>
      <top style="thin">
        <color rgb="FF1F4E79"/>
      </top>
      <bottom style="thin">
        <color rgb="FF1F4E79"/>
      </bottom>
      <diagonal/>
    </border>
    <border>
      <left/>
      <right style="thin">
        <color rgb="FF1F4E79"/>
      </right>
      <top style="thin">
        <color rgb="FF1F4E79"/>
      </top>
      <bottom style="thin">
        <color rgb="FF1F4E79"/>
      </bottom>
      <diagonal/>
    </border>
    <border>
      <left style="thin">
        <color rgb="FFD1D5DB"/>
      </left>
      <right/>
      <top style="thin">
        <color rgb="FFD1D5DB"/>
      </top>
      <bottom style="thin">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style="thin">
        <color rgb="FFD1D5DB"/>
      </left>
      <right/>
      <top style="thin">
        <color rgb="FFD1D5DB"/>
      </top>
      <bottom/>
      <diagonal/>
    </border>
    <border>
      <left/>
      <right/>
      <top style="thin">
        <color rgb="FFD1D5DB"/>
      </top>
      <bottom/>
      <diagonal/>
    </border>
    <border>
      <left/>
      <right style="thin">
        <color rgb="FFD1D5DB"/>
      </right>
      <top style="thin">
        <color rgb="FFD1D5DB"/>
      </top>
      <bottom/>
      <diagonal/>
    </border>
    <border>
      <left style="thin">
        <color rgb="FFD1D5DB"/>
      </left>
      <right/>
      <top/>
      <bottom/>
      <diagonal/>
    </border>
    <border>
      <left/>
      <right style="thin">
        <color rgb="FFD1D5DB"/>
      </right>
      <top/>
      <bottom/>
      <diagonal/>
    </border>
    <border>
      <left style="thin">
        <color rgb="FFD1D5DB"/>
      </left>
      <right/>
      <top/>
      <bottom style="thin">
        <color rgb="FFD1D5DB"/>
      </bottom>
      <diagonal/>
    </border>
    <border>
      <left/>
      <right/>
      <top/>
      <bottom style="thin">
        <color rgb="FFD1D5DB"/>
      </bottom>
      <diagonal/>
    </border>
    <border>
      <left/>
      <right style="thin">
        <color rgb="FFD1D5DB"/>
      </right>
      <top/>
      <bottom style="thin">
        <color rgb="FFD1D5DB"/>
      </bottom>
      <diagonal/>
    </border>
    <border>
      <left style="thin">
        <color rgb="FFD1D5DB"/>
      </left>
      <right style="thin">
        <color rgb="FFD1D5DB"/>
      </right>
      <top style="thin">
        <color rgb="FFD1D5DB"/>
      </top>
      <bottom/>
      <diagonal/>
    </border>
    <border>
      <left style="thin">
        <color rgb="FFD1D5DB"/>
      </left>
      <right style="thin">
        <color rgb="FFD1D5DB"/>
      </right>
      <top/>
      <bottom/>
      <diagonal/>
    </border>
    <border>
      <left style="thin">
        <color rgb="FFD1D5DB"/>
      </left>
      <right style="thin">
        <color rgb="FFD1D5DB"/>
      </right>
      <top/>
      <bottom style="thin">
        <color rgb="FFD1D5DB"/>
      </bottom>
      <diagonal/>
    </border>
    <border>
      <left style="thin">
        <color rgb="FFD1D5DB"/>
      </left>
      <right style="thin">
        <color rgb="FFD1D5DB"/>
      </right>
      <top style="thin">
        <color rgb="FFD1D5DB"/>
      </top>
      <bottom style="thin">
        <color rgb="FFD1D5DB"/>
      </bottom>
      <diagonal/>
    </border>
    <border>
      <left style="thick">
        <color rgb="FFD4AF37"/>
      </left>
      <right style="thick">
        <color rgb="FFD4AF37"/>
      </right>
      <top style="thick">
        <color rgb="FFD4AF37"/>
      </top>
      <bottom style="thick">
        <color rgb="FFD4AF37"/>
      </bottom>
      <diagonal/>
    </border>
    <border>
      <left style="thick">
        <color rgb="FF16A34A"/>
      </left>
      <right/>
      <top style="thick">
        <color rgb="FF16A34A"/>
      </top>
      <bottom style="thick">
        <color rgb="FF16A34A"/>
      </bottom>
      <diagonal/>
    </border>
    <border>
      <left/>
      <right/>
      <top style="thick">
        <color rgb="FF16A34A"/>
      </top>
      <bottom style="thick">
        <color rgb="FF16A34A"/>
      </bottom>
      <diagonal/>
    </border>
    <border>
      <left/>
      <right style="thick">
        <color rgb="FF16A34A"/>
      </right>
      <top style="thick">
        <color rgb="FF16A34A"/>
      </top>
      <bottom style="thick">
        <color rgb="FF16A34A"/>
      </bottom>
      <diagonal/>
    </border>
    <border>
      <left style="thick">
        <color rgb="FF16A34A"/>
      </left>
      <right style="thick">
        <color rgb="FF16A34A"/>
      </right>
      <top style="thick">
        <color rgb="FF16A34A"/>
      </top>
      <bottom style="thick">
        <color rgb="FF16A34A"/>
      </bottom>
      <diagonal/>
    </border>
    <border>
      <left style="thin">
        <color rgb="FF111827"/>
      </left>
      <right style="thin">
        <color rgb="FF111827"/>
      </right>
      <top style="thin">
        <color rgb="FF111827"/>
      </top>
      <bottom/>
      <diagonal/>
    </border>
    <border>
      <left style="thin">
        <color rgb="FF111827"/>
      </left>
      <right style="thin">
        <color rgb="FF111827"/>
      </right>
      <top/>
      <bottom style="thin">
        <color rgb="FF111827"/>
      </bottom>
      <diagonal/>
    </border>
    <border>
      <left style="thin">
        <color rgb="FFF59E0B"/>
      </left>
      <right/>
      <top style="thin">
        <color rgb="FFF59E0B"/>
      </top>
      <bottom/>
      <diagonal/>
    </border>
    <border>
      <left/>
      <right/>
      <top style="thin">
        <color rgb="FFF59E0B"/>
      </top>
      <bottom/>
      <diagonal/>
    </border>
    <border>
      <left/>
      <right style="thin">
        <color rgb="FFF59E0B"/>
      </right>
      <top style="thin">
        <color rgb="FFF59E0B"/>
      </top>
      <bottom/>
      <diagonal/>
    </border>
    <border>
      <left style="thin">
        <color rgb="FFF59E0B"/>
      </left>
      <right/>
      <top/>
      <bottom style="thin">
        <color rgb="FFF59E0B"/>
      </bottom>
      <diagonal/>
    </border>
    <border>
      <left/>
      <right/>
      <top/>
      <bottom style="thin">
        <color rgb="FFF59E0B"/>
      </bottom>
      <diagonal/>
    </border>
    <border>
      <left/>
      <right style="thin">
        <color rgb="FFF59E0B"/>
      </right>
      <top/>
      <bottom style="thin">
        <color rgb="FFF59E0B"/>
      </bottom>
      <diagonal/>
    </border>
    <border>
      <left style="thin">
        <color rgb="FFBFDBFE"/>
      </left>
      <right/>
      <top style="thin">
        <color rgb="FFBFDBFE"/>
      </top>
      <bottom style="thin">
        <color rgb="FFBFDBFE"/>
      </bottom>
      <diagonal/>
    </border>
    <border>
      <left/>
      <right/>
      <top style="thin">
        <color rgb="FFBFDBFE"/>
      </top>
      <bottom style="thin">
        <color rgb="FFBFDBFE"/>
      </bottom>
      <diagonal/>
    </border>
    <border>
      <left/>
      <right style="thin">
        <color rgb="FFBFDBFE"/>
      </right>
      <top style="thin">
        <color rgb="FFBFDBFE"/>
      </top>
      <bottom style="thin">
        <color rgb="FFBFDBFE"/>
      </bottom>
      <diagonal/>
    </border>
    <border>
      <left style="thin">
        <color rgb="FF111827"/>
      </left>
      <right/>
      <top style="thin">
        <color rgb="FF111827"/>
      </top>
      <bottom style="thin">
        <color rgb="FF111827"/>
      </bottom>
      <diagonal/>
    </border>
    <border>
      <left/>
      <right/>
      <top style="thin">
        <color rgb="FF111827"/>
      </top>
      <bottom style="thin">
        <color rgb="FF111827"/>
      </bottom>
      <diagonal/>
    </border>
    <border>
      <left/>
      <right style="thin">
        <color rgb="FF111827"/>
      </right>
      <top style="thin">
        <color rgb="FF111827"/>
      </top>
      <bottom style="thin">
        <color rgb="FF111827"/>
      </bottom>
      <diagonal/>
    </border>
    <border>
      <left/>
      <right/>
      <top style="thin">
        <color rgb="FFE5E7EB"/>
      </top>
      <bottom/>
      <diagonal/>
    </border>
    <border>
      <left/>
      <right style="thin">
        <color rgb="FFE5E7EB"/>
      </right>
      <top style="thin">
        <color rgb="FFE5E7EB"/>
      </top>
      <bottom/>
      <diagonal/>
    </border>
    <border>
      <left/>
      <right style="thin">
        <color rgb="FFE5E7EB"/>
      </right>
      <top/>
      <bottom/>
      <diagonal/>
    </border>
    <border>
      <left/>
      <right/>
      <top/>
      <bottom style="thin">
        <color rgb="FFE5E7EB"/>
      </bottom>
      <diagonal/>
    </border>
    <border>
      <left/>
      <right style="thin">
        <color rgb="FFE5E7EB"/>
      </right>
      <top/>
      <bottom style="thin">
        <color rgb="FFE5E7EB"/>
      </bottom>
      <diagonal/>
    </border>
    <border>
      <left style="thick">
        <color rgb="FF16A34A"/>
      </left>
      <right style="thick">
        <color rgb="FF16A34A"/>
      </right>
      <top style="thick">
        <color rgb="FF16A34A"/>
      </top>
      <bottom style="thin">
        <color rgb="FF111827"/>
      </bottom>
      <diagonal/>
    </border>
    <border>
      <left style="thick">
        <color rgb="FF16A34A"/>
      </left>
      <right style="thick">
        <color rgb="FF16A34A"/>
      </right>
      <top style="thin">
        <color rgb="FFE5E7EB"/>
      </top>
      <bottom/>
      <diagonal/>
    </border>
    <border>
      <left style="thick">
        <color rgb="FF16A34A"/>
      </left>
      <right style="thick">
        <color rgb="FF16A34A"/>
      </right>
      <top/>
      <bottom/>
      <diagonal/>
    </border>
    <border>
      <left style="thick">
        <color rgb="FF16A34A"/>
      </left>
      <right style="thick">
        <color rgb="FF16A34A"/>
      </right>
      <top/>
      <bottom style="thick">
        <color rgb="FF16A34A"/>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140">
    <xf numFmtId="0" fontId="0" fillId="0" borderId="0" xfId="0"/>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3" fillId="0" borderId="0" xfId="0" applyFont="1" applyAlignment="1">
      <alignment horizontal="center" vertical="center" wrapText="1"/>
    </xf>
    <xf numFmtId="0" fontId="4" fillId="4" borderId="15" xfId="0" applyFont="1" applyFill="1" applyBorder="1" applyAlignment="1">
      <alignment horizontal="center" vertical="center" wrapText="1"/>
    </xf>
    <xf numFmtId="0" fontId="4" fillId="4" borderId="16" xfId="0" applyFont="1" applyFill="1" applyBorder="1" applyAlignment="1">
      <alignment horizontal="center" vertical="center" wrapText="1"/>
    </xf>
    <xf numFmtId="0" fontId="5" fillId="5" borderId="18" xfId="0" applyFont="1" applyFill="1" applyBorder="1" applyAlignment="1">
      <alignment horizontal="center" vertical="center" wrapText="1"/>
    </xf>
    <xf numFmtId="0" fontId="6" fillId="6" borderId="18" xfId="0" applyFont="1" applyFill="1" applyBorder="1" applyAlignment="1">
      <alignment horizontal="center" vertical="center" wrapText="1"/>
    </xf>
    <xf numFmtId="0" fontId="7" fillId="6" borderId="19" xfId="0" applyFont="1" applyFill="1" applyBorder="1" applyAlignment="1">
      <alignment horizontal="center" vertical="center" wrapText="1"/>
    </xf>
    <xf numFmtId="0" fontId="8" fillId="7" borderId="18" xfId="0" applyFont="1" applyFill="1" applyBorder="1" applyAlignment="1">
      <alignment horizontal="center" vertical="center" wrapText="1"/>
    </xf>
    <xf numFmtId="0" fontId="9" fillId="7" borderId="19" xfId="0" applyFont="1" applyFill="1" applyBorder="1" applyAlignment="1">
      <alignment horizontal="center" vertical="center" wrapText="1"/>
    </xf>
    <xf numFmtId="0" fontId="10" fillId="8" borderId="18" xfId="0" applyFont="1" applyFill="1" applyBorder="1" applyAlignment="1">
      <alignment horizontal="center" vertical="center" wrapText="1"/>
    </xf>
    <xf numFmtId="0" fontId="11" fillId="9" borderId="18" xfId="0" applyFont="1" applyFill="1" applyBorder="1" applyAlignment="1">
      <alignment horizontal="center" vertical="center" wrapText="1"/>
    </xf>
    <xf numFmtId="0" fontId="12" fillId="10" borderId="18" xfId="0" applyFont="1" applyFill="1" applyBorder="1" applyAlignment="1">
      <alignment horizontal="center" vertical="center" wrapText="1"/>
    </xf>
    <xf numFmtId="0" fontId="13" fillId="8" borderId="19" xfId="0" applyFont="1" applyFill="1" applyBorder="1" applyAlignment="1">
      <alignment horizontal="center" vertical="center" wrapText="1"/>
    </xf>
    <xf numFmtId="0" fontId="13" fillId="11" borderId="23" xfId="0" applyFont="1" applyFill="1" applyBorder="1" applyAlignment="1">
      <alignment horizontal="center" vertical="center" wrapText="1"/>
    </xf>
    <xf numFmtId="0" fontId="2" fillId="3" borderId="24" xfId="0" applyFont="1" applyFill="1" applyBorder="1" applyAlignment="1">
      <alignment horizontal="center" vertical="center"/>
    </xf>
    <xf numFmtId="0" fontId="2" fillId="3" borderId="25" xfId="0" applyFont="1" applyFill="1" applyBorder="1" applyAlignment="1">
      <alignment horizontal="center" vertical="center"/>
    </xf>
    <xf numFmtId="0" fontId="2" fillId="3" borderId="0" xfId="0" applyFont="1" applyFill="1" applyAlignment="1">
      <alignment horizontal="center" vertical="center"/>
    </xf>
    <xf numFmtId="0" fontId="0" fillId="0" borderId="0" xfId="0" applyAlignment="1">
      <alignment wrapText="1"/>
    </xf>
    <xf numFmtId="0" fontId="0" fillId="0" borderId="6" xfId="0" applyBorder="1" applyAlignment="1">
      <alignment vertical="center" wrapText="1"/>
    </xf>
    <xf numFmtId="0" fontId="0" fillId="6" borderId="5" xfId="0" applyFill="1" applyBorder="1" applyAlignment="1">
      <alignment vertical="center" wrapText="1"/>
    </xf>
    <xf numFmtId="0" fontId="7" fillId="0" borderId="4" xfId="0" applyFont="1" applyBorder="1" applyAlignment="1">
      <alignment vertical="center" wrapText="1"/>
    </xf>
    <xf numFmtId="0" fontId="0" fillId="7" borderId="5" xfId="0" applyFill="1" applyBorder="1" applyAlignment="1">
      <alignment vertical="center" wrapText="1"/>
    </xf>
    <xf numFmtId="0" fontId="9" fillId="0" borderId="4" xfId="0" applyFont="1" applyBorder="1" applyAlignment="1">
      <alignment vertical="center" wrapText="1"/>
    </xf>
    <xf numFmtId="0" fontId="0" fillId="8" borderId="5" xfId="0" applyFill="1" applyBorder="1" applyAlignment="1">
      <alignment vertical="center" wrapText="1"/>
    </xf>
    <xf numFmtId="0" fontId="13" fillId="0" borderId="4" xfId="0" applyFont="1" applyBorder="1" applyAlignment="1">
      <alignment vertical="center" wrapText="1"/>
    </xf>
    <xf numFmtId="0" fontId="0" fillId="9" borderId="5" xfId="0" applyFill="1" applyBorder="1" applyAlignment="1">
      <alignment vertical="center" wrapText="1"/>
    </xf>
    <xf numFmtId="0" fontId="16" fillId="0" borderId="4" xfId="0" applyFont="1" applyBorder="1" applyAlignment="1">
      <alignment vertical="center" wrapText="1"/>
    </xf>
    <xf numFmtId="0" fontId="0" fillId="5" borderId="5" xfId="0" applyFill="1" applyBorder="1" applyAlignment="1">
      <alignment vertical="center" wrapText="1"/>
    </xf>
    <xf numFmtId="0" fontId="17" fillId="0" borderId="4" xfId="0" applyFont="1" applyBorder="1" applyAlignment="1">
      <alignment vertical="center" wrapText="1"/>
    </xf>
    <xf numFmtId="0" fontId="0" fillId="10" borderId="5" xfId="0" applyFill="1" applyBorder="1" applyAlignment="1">
      <alignment vertical="center" wrapText="1"/>
    </xf>
    <xf numFmtId="0" fontId="18" fillId="0" borderId="4" xfId="0" applyFont="1" applyBorder="1" applyAlignment="1">
      <alignment vertical="center" wrapText="1"/>
    </xf>
    <xf numFmtId="0" fontId="0" fillId="13" borderId="19" xfId="0" applyFill="1" applyBorder="1" applyAlignment="1">
      <alignment wrapText="1"/>
    </xf>
    <xf numFmtId="0" fontId="0" fillId="0" borderId="0" xfId="0" applyAlignment="1">
      <alignment horizont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1" fontId="0" fillId="0" borderId="9" xfId="0" applyNumberFormat="1" applyBorder="1" applyAlignment="1">
      <alignment horizontal="center" vertical="center"/>
    </xf>
    <xf numFmtId="1" fontId="0" fillId="0" borderId="11" xfId="0" applyNumberFormat="1" applyBorder="1" applyAlignment="1">
      <alignment horizontal="center" vertical="center"/>
    </xf>
    <xf numFmtId="1" fontId="0" fillId="0" borderId="14" xfId="0" applyNumberFormat="1" applyBorder="1" applyAlignment="1">
      <alignment horizontal="center" vertical="center"/>
    </xf>
    <xf numFmtId="0" fontId="2" fillId="3" borderId="35" xfId="0" applyFont="1" applyFill="1" applyBorder="1" applyAlignment="1">
      <alignment horizontal="center" vertical="center" wrapText="1"/>
    </xf>
    <xf numFmtId="0" fontId="2" fillId="3" borderId="36" xfId="0" applyFont="1" applyFill="1" applyBorder="1" applyAlignment="1">
      <alignment horizontal="center" vertical="center" wrapText="1"/>
    </xf>
    <xf numFmtId="0" fontId="2" fillId="3" borderId="37" xfId="0" applyFont="1" applyFill="1" applyBorder="1" applyAlignment="1">
      <alignment horizontal="center" vertical="center" wrapText="1"/>
    </xf>
    <xf numFmtId="0" fontId="3" fillId="0" borderId="38" xfId="0" applyFont="1" applyBorder="1" applyAlignment="1">
      <alignment horizontal="center" vertical="center" wrapText="1"/>
    </xf>
    <xf numFmtId="0" fontId="3" fillId="0" borderId="41" xfId="0" applyFont="1" applyBorder="1" applyAlignment="1">
      <alignment horizontal="center" vertical="center" wrapText="1"/>
    </xf>
    <xf numFmtId="0" fontId="4" fillId="15" borderId="16" xfId="0" applyFont="1" applyFill="1" applyBorder="1" applyAlignment="1">
      <alignment horizontal="center" vertical="center" wrapText="1"/>
    </xf>
    <xf numFmtId="0" fontId="4" fillId="15" borderId="17" xfId="0" applyFont="1" applyFill="1" applyBorder="1" applyAlignment="1">
      <alignment horizontal="center" vertical="center" wrapText="1"/>
    </xf>
    <xf numFmtId="1" fontId="4" fillId="16" borderId="15" xfId="0" applyNumberFormat="1" applyFont="1" applyFill="1" applyBorder="1" applyAlignment="1">
      <alignment horizontal="center" vertical="center" wrapText="1"/>
    </xf>
    <xf numFmtId="1" fontId="4" fillId="16" borderId="16" xfId="0" applyNumberFormat="1" applyFont="1" applyFill="1" applyBorder="1" applyAlignment="1">
      <alignment horizontal="center" vertical="center" wrapText="1"/>
    </xf>
    <xf numFmtId="1" fontId="4" fillId="16" borderId="17" xfId="0" applyNumberFormat="1" applyFont="1" applyFill="1" applyBorder="1" applyAlignment="1">
      <alignment horizontal="center" vertical="center" wrapText="1"/>
    </xf>
    <xf numFmtId="0" fontId="2" fillId="17" borderId="43" xfId="0" applyFont="1" applyFill="1" applyBorder="1" applyAlignment="1">
      <alignment horizontal="center" vertical="center" wrapText="1"/>
    </xf>
    <xf numFmtId="0" fontId="3" fillId="18" borderId="44" xfId="0" applyFont="1" applyFill="1" applyBorder="1" applyAlignment="1">
      <alignment horizontal="center" vertical="center" wrapText="1"/>
    </xf>
    <xf numFmtId="0" fontId="3" fillId="18" borderId="45" xfId="0" applyFont="1" applyFill="1" applyBorder="1" applyAlignment="1">
      <alignment horizontal="center" vertical="center" wrapText="1"/>
    </xf>
    <xf numFmtId="0" fontId="3" fillId="18" borderId="46" xfId="0" applyFont="1" applyFill="1" applyBorder="1" applyAlignment="1">
      <alignment horizontal="center" vertical="center" wrapText="1"/>
    </xf>
    <xf numFmtId="0" fontId="0" fillId="16" borderId="7" xfId="0" applyFill="1" applyBorder="1" applyAlignment="1">
      <alignment horizontal="center" vertical="center"/>
    </xf>
    <xf numFmtId="0" fontId="0" fillId="16" borderId="10" xfId="0" applyFill="1" applyBorder="1" applyAlignment="1">
      <alignment horizontal="center" vertical="center"/>
    </xf>
    <xf numFmtId="0" fontId="0" fillId="16" borderId="12" xfId="0" applyFill="1" applyBorder="1" applyAlignment="1">
      <alignment horizontal="center" vertical="center"/>
    </xf>
    <xf numFmtId="1" fontId="0" fillId="16" borderId="9" xfId="0" applyNumberFormat="1" applyFill="1" applyBorder="1" applyAlignment="1">
      <alignment horizontal="center" vertical="center"/>
    </xf>
    <xf numFmtId="1" fontId="0" fillId="16" borderId="11" xfId="0" applyNumberFormat="1" applyFill="1" applyBorder="1" applyAlignment="1">
      <alignment horizontal="center" vertical="center"/>
    </xf>
    <xf numFmtId="1" fontId="0" fillId="16" borderId="14" xfId="0" applyNumberFormat="1" applyFill="1" applyBorder="1" applyAlignment="1">
      <alignment horizontal="center" vertical="center"/>
    </xf>
    <xf numFmtId="0" fontId="2" fillId="3" borderId="0" xfId="0" applyFont="1" applyFill="1" applyAlignment="1">
      <alignment horizontal="center" vertical="center" wrapText="1"/>
    </xf>
    <xf numFmtId="1" fontId="0" fillId="0" borderId="38" xfId="0" applyNumberFormat="1" applyBorder="1" applyAlignment="1">
      <alignment horizontal="center" vertical="center"/>
    </xf>
    <xf numFmtId="1" fontId="0" fillId="0" borderId="39" xfId="0" applyNumberFormat="1" applyBorder="1" applyAlignment="1">
      <alignment horizontal="center" vertical="center"/>
    </xf>
    <xf numFmtId="1" fontId="0" fillId="0" borderId="0" xfId="0" applyNumberFormat="1" applyAlignment="1">
      <alignment horizontal="center" vertical="center"/>
    </xf>
    <xf numFmtId="1" fontId="0" fillId="0" borderId="40" xfId="0" applyNumberFormat="1" applyBorder="1" applyAlignment="1">
      <alignment horizontal="center" vertical="center"/>
    </xf>
    <xf numFmtId="1" fontId="0" fillId="0" borderId="41" xfId="0" applyNumberFormat="1" applyBorder="1" applyAlignment="1">
      <alignment horizontal="center" vertical="center"/>
    </xf>
    <xf numFmtId="1" fontId="0" fillId="0" borderId="42" xfId="0" applyNumberFormat="1" applyBorder="1" applyAlignment="1">
      <alignment horizontal="center" vertical="center"/>
    </xf>
    <xf numFmtId="1" fontId="4" fillId="15" borderId="15" xfId="0" applyNumberFormat="1" applyFont="1" applyFill="1" applyBorder="1" applyAlignment="1">
      <alignment horizontal="center" vertical="center"/>
    </xf>
    <xf numFmtId="1" fontId="4" fillId="15" borderId="16" xfId="0" applyNumberFormat="1" applyFont="1" applyFill="1" applyBorder="1" applyAlignment="1">
      <alignment horizontal="center" vertical="center"/>
    </xf>
    <xf numFmtId="1" fontId="4" fillId="15" borderId="17" xfId="0" applyNumberFormat="1" applyFont="1" applyFill="1" applyBorder="1" applyAlignment="1">
      <alignment horizontal="center" vertical="center"/>
    </xf>
    <xf numFmtId="0" fontId="7" fillId="6" borderId="0" xfId="0" applyFont="1" applyFill="1" applyAlignment="1">
      <alignment horizontal="center" vertical="center" wrapText="1"/>
    </xf>
    <xf numFmtId="0" fontId="9" fillId="7" borderId="0" xfId="0" applyFont="1" applyFill="1" applyAlignment="1">
      <alignment horizontal="center" vertical="center" wrapText="1"/>
    </xf>
    <xf numFmtId="0" fontId="13" fillId="8" borderId="0" xfId="0" applyFont="1" applyFill="1" applyAlignment="1">
      <alignment horizontal="center" vertical="center" wrapText="1"/>
    </xf>
    <xf numFmtId="0" fontId="16" fillId="9" borderId="0" xfId="0" applyFont="1" applyFill="1" applyAlignment="1">
      <alignment horizontal="center" vertical="center" wrapText="1"/>
    </xf>
    <xf numFmtId="0" fontId="17" fillId="5" borderId="0" xfId="0" applyFont="1" applyFill="1" applyAlignment="1">
      <alignment horizontal="center" vertical="center" wrapText="1"/>
    </xf>
    <xf numFmtId="0" fontId="18" fillId="10" borderId="0" xfId="0" applyFont="1" applyFill="1" applyAlignment="1">
      <alignment horizontal="center" vertical="center" wrapText="1"/>
    </xf>
    <xf numFmtId="0" fontId="2" fillId="19" borderId="48" xfId="0" applyFont="1" applyFill="1" applyBorder="1" applyAlignment="1">
      <alignment horizontal="center" vertical="center" wrapText="1"/>
    </xf>
    <xf numFmtId="3" fontId="0" fillId="0" borderId="47" xfId="0" applyNumberFormat="1" applyBorder="1" applyAlignment="1">
      <alignment horizontal="center" vertical="center" wrapText="1"/>
    </xf>
    <xf numFmtId="0" fontId="20" fillId="20" borderId="0" xfId="0" applyFont="1" applyFill="1" applyAlignment="1">
      <alignment horizontal="center"/>
    </xf>
    <xf numFmtId="3" fontId="0" fillId="0" borderId="0" xfId="0" applyNumberFormat="1" applyAlignment="1">
      <alignment horizontal="center"/>
    </xf>
    <xf numFmtId="0" fontId="2" fillId="19" borderId="0" xfId="0" applyFont="1" applyFill="1" applyAlignment="1">
      <alignment horizontal="center" vertical="center"/>
    </xf>
    <xf numFmtId="0" fontId="2" fillId="23" borderId="0" xfId="0" applyFont="1" applyFill="1" applyAlignment="1">
      <alignment horizontal="center" vertical="center" wrapText="1"/>
    </xf>
    <xf numFmtId="0" fontId="0" fillId="0" borderId="47" xfId="0" applyBorder="1" applyAlignment="1">
      <alignment horizontal="center" vertical="center"/>
    </xf>
    <xf numFmtId="0" fontId="0" fillId="24" borderId="47" xfId="0" applyFill="1" applyBorder="1" applyAlignment="1">
      <alignment horizontal="center" vertical="center"/>
    </xf>
    <xf numFmtId="1" fontId="2" fillId="26" borderId="0" xfId="0" applyNumberFormat="1" applyFont="1" applyFill="1" applyAlignment="1">
      <alignment horizontal="center" vertical="center" wrapText="1"/>
    </xf>
    <xf numFmtId="1" fontId="20" fillId="25" borderId="47" xfId="0" applyNumberFormat="1" applyFont="1" applyFill="1" applyBorder="1" applyAlignment="1">
      <alignment horizontal="center" vertical="center"/>
    </xf>
    <xf numFmtId="0" fontId="4" fillId="27" borderId="16" xfId="0" applyFont="1" applyFill="1" applyBorder="1" applyAlignment="1">
      <alignment horizontal="center" vertical="center" wrapText="1"/>
    </xf>
    <xf numFmtId="0" fontId="4" fillId="27" borderId="15" xfId="0" applyFont="1" applyFill="1" applyBorder="1" applyAlignment="1">
      <alignment horizontal="center" vertical="center" wrapText="1"/>
    </xf>
    <xf numFmtId="0" fontId="4" fillId="28" borderId="16" xfId="0" applyFont="1" applyFill="1" applyBorder="1" applyAlignment="1">
      <alignment horizontal="center" vertical="center" wrapText="1"/>
    </xf>
    <xf numFmtId="0" fontId="4" fillId="29" borderId="16" xfId="0" applyFont="1" applyFill="1" applyBorder="1" applyAlignment="1">
      <alignment horizontal="center" vertical="center" wrapText="1"/>
    </xf>
    <xf numFmtId="0" fontId="4" fillId="30" borderId="16" xfId="0" applyFont="1" applyFill="1" applyBorder="1" applyAlignment="1">
      <alignment horizontal="center" vertical="center" wrapText="1"/>
    </xf>
    <xf numFmtId="1" fontId="2" fillId="28" borderId="0" xfId="0" applyNumberFormat="1" applyFont="1" applyFill="1" applyAlignment="1">
      <alignment horizontal="center" vertical="center" wrapText="1"/>
    </xf>
    <xf numFmtId="1" fontId="20" fillId="28" borderId="47" xfId="0" applyNumberFormat="1" applyFont="1" applyFill="1" applyBorder="1" applyAlignment="1">
      <alignment horizontal="center" vertical="center"/>
    </xf>
    <xf numFmtId="1" fontId="2" fillId="29" borderId="0" xfId="0" applyNumberFormat="1" applyFont="1" applyFill="1" applyAlignment="1">
      <alignment horizontal="center" vertical="center" wrapText="1"/>
    </xf>
    <xf numFmtId="1" fontId="20" fillId="29" borderId="47" xfId="0" applyNumberFormat="1" applyFont="1" applyFill="1" applyBorder="1" applyAlignment="1">
      <alignment horizontal="center" vertical="center"/>
    </xf>
    <xf numFmtId="1" fontId="2" fillId="31" borderId="0" xfId="0" applyNumberFormat="1" applyFont="1" applyFill="1" applyAlignment="1">
      <alignment horizontal="center" vertical="center" wrapText="1"/>
    </xf>
    <xf numFmtId="1" fontId="20" fillId="31" borderId="47" xfId="0" applyNumberFormat="1" applyFont="1" applyFill="1" applyBorder="1" applyAlignment="1">
      <alignment horizontal="center" vertical="center"/>
    </xf>
    <xf numFmtId="1" fontId="2" fillId="30" borderId="0" xfId="0" applyNumberFormat="1" applyFont="1" applyFill="1" applyAlignment="1">
      <alignment horizontal="center" vertical="center" wrapText="1"/>
    </xf>
    <xf numFmtId="1" fontId="20" fillId="30" borderId="47" xfId="0" applyNumberFormat="1" applyFont="1" applyFill="1" applyBorder="1" applyAlignment="1">
      <alignment horizontal="center" vertical="center"/>
    </xf>
    <xf numFmtId="1" fontId="2" fillId="27" borderId="0" xfId="0" applyNumberFormat="1" applyFont="1" applyFill="1" applyAlignment="1">
      <alignment horizontal="center" vertical="center" wrapText="1"/>
    </xf>
    <xf numFmtId="1" fontId="20" fillId="27" borderId="47" xfId="0" applyNumberFormat="1" applyFont="1" applyFill="1" applyBorder="1" applyAlignment="1">
      <alignment horizontal="center" vertical="center"/>
    </xf>
    <xf numFmtId="14" fontId="25" fillId="33" borderId="49" xfId="0" applyNumberFormat="1" applyFont="1" applyFill="1" applyBorder="1" applyAlignment="1">
      <alignment horizontal="center"/>
    </xf>
    <xf numFmtId="0" fontId="26" fillId="33" borderId="49" xfId="0" applyFont="1" applyFill="1" applyBorder="1" applyAlignment="1">
      <alignment horizontal="center"/>
    </xf>
    <xf numFmtId="0" fontId="25" fillId="33" borderId="49" xfId="0" applyFont="1" applyFill="1" applyBorder="1" applyAlignment="1">
      <alignment horizontal="center"/>
    </xf>
    <xf numFmtId="0" fontId="28" fillId="33" borderId="49" xfId="0" applyFont="1" applyFill="1" applyBorder="1" applyAlignment="1">
      <alignment horizontal="center"/>
    </xf>
    <xf numFmtId="0" fontId="29" fillId="33" borderId="49" xfId="0" applyFont="1" applyFill="1" applyBorder="1" applyAlignment="1">
      <alignment horizontal="center"/>
    </xf>
    <xf numFmtId="0" fontId="30" fillId="34" borderId="49" xfId="0" applyFont="1" applyFill="1" applyBorder="1" applyAlignment="1">
      <alignment horizontal="center"/>
    </xf>
    <xf numFmtId="0" fontId="27" fillId="34" borderId="49" xfId="0" applyFont="1" applyFill="1" applyBorder="1" applyAlignment="1">
      <alignment horizontal="center"/>
    </xf>
    <xf numFmtId="0" fontId="1" fillId="2" borderId="0" xfId="0" applyFont="1" applyFill="1" applyAlignment="1">
      <alignment horizontal="center" vertical="center"/>
    </xf>
    <xf numFmtId="0" fontId="19" fillId="14" borderId="32" xfId="0" applyFont="1" applyFill="1" applyBorder="1" applyAlignment="1">
      <alignment horizontal="left" vertical="center" wrapText="1"/>
    </xf>
    <xf numFmtId="0" fontId="19" fillId="14" borderId="33" xfId="0" applyFont="1" applyFill="1" applyBorder="1" applyAlignment="1">
      <alignment horizontal="left" vertical="center" wrapText="1"/>
    </xf>
    <xf numFmtId="0" fontId="19" fillId="14" borderId="34" xfId="0" applyFont="1" applyFill="1" applyBorder="1" applyAlignment="1">
      <alignment horizontal="left" vertical="center" wrapText="1"/>
    </xf>
    <xf numFmtId="0" fontId="2" fillId="2" borderId="0" xfId="0" applyFont="1" applyFill="1" applyAlignment="1">
      <alignment horizontal="center" vertical="center"/>
    </xf>
    <xf numFmtId="0" fontId="2" fillId="19" borderId="0" xfId="0" applyFont="1" applyFill="1" applyAlignment="1">
      <alignment horizontal="center"/>
    </xf>
    <xf numFmtId="0" fontId="0" fillId="24" borderId="0" xfId="0" applyFill="1" applyAlignment="1">
      <alignment vertical="center" wrapText="1"/>
    </xf>
    <xf numFmtId="0" fontId="0" fillId="0" borderId="0" xfId="0"/>
    <xf numFmtId="0" fontId="2" fillId="19" borderId="0" xfId="0" applyFont="1" applyFill="1" applyAlignment="1">
      <alignment horizontal="center" vertical="center"/>
    </xf>
    <xf numFmtId="0" fontId="21" fillId="21" borderId="0" xfId="0" applyFont="1" applyFill="1" applyAlignment="1">
      <alignment horizontal="center" vertical="center"/>
    </xf>
    <xf numFmtId="0" fontId="22" fillId="22" borderId="0" xfId="0" applyFont="1" applyFill="1" applyAlignment="1">
      <alignment horizontal="center" vertical="center" wrapText="1"/>
    </xf>
    <xf numFmtId="0" fontId="2" fillId="21" borderId="0" xfId="0" applyFont="1" applyFill="1" applyAlignment="1">
      <alignment horizontal="center"/>
    </xf>
    <xf numFmtId="0" fontId="15" fillId="2" borderId="0" xfId="0" applyFont="1" applyFill="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3" fillId="11" borderId="20" xfId="0" applyFont="1" applyFill="1" applyBorder="1" applyAlignment="1">
      <alignment horizontal="center" vertical="center" wrapText="1"/>
    </xf>
    <xf numFmtId="0" fontId="13" fillId="11" borderId="21" xfId="0" applyFont="1" applyFill="1" applyBorder="1" applyAlignment="1">
      <alignment horizontal="center" vertical="center" wrapText="1"/>
    </xf>
    <xf numFmtId="0" fontId="13" fillId="11" borderId="22" xfId="0" applyFont="1" applyFill="1" applyBorder="1" applyAlignment="1">
      <alignment horizontal="center" vertical="center" wrapText="1"/>
    </xf>
    <xf numFmtId="0" fontId="14" fillId="12" borderId="26" xfId="0" applyFont="1" applyFill="1" applyBorder="1" applyAlignment="1">
      <alignment horizontal="left" vertical="center" wrapText="1"/>
    </xf>
    <xf numFmtId="0" fontId="14" fillId="12" borderId="27" xfId="0" applyFont="1" applyFill="1" applyBorder="1" applyAlignment="1">
      <alignment horizontal="left" vertical="center" wrapText="1"/>
    </xf>
    <xf numFmtId="0" fontId="14" fillId="12" borderId="28" xfId="0" applyFont="1" applyFill="1" applyBorder="1" applyAlignment="1">
      <alignment horizontal="left" vertical="center" wrapText="1"/>
    </xf>
    <xf numFmtId="0" fontId="14" fillId="12" borderId="29" xfId="0" applyFont="1" applyFill="1" applyBorder="1" applyAlignment="1">
      <alignment horizontal="left" vertical="center" wrapText="1"/>
    </xf>
    <xf numFmtId="0" fontId="14" fillId="12" borderId="30" xfId="0" applyFont="1" applyFill="1" applyBorder="1" applyAlignment="1">
      <alignment horizontal="left" vertical="center" wrapText="1"/>
    </xf>
    <xf numFmtId="0" fontId="14" fillId="12" borderId="31" xfId="0" applyFont="1" applyFill="1" applyBorder="1" applyAlignment="1">
      <alignment horizontal="left" vertical="center" wrapText="1"/>
    </xf>
    <xf numFmtId="0" fontId="24" fillId="32" borderId="48" xfId="0" applyFont="1" applyFill="1" applyBorder="1" applyAlignment="1">
      <alignment horizontal="center"/>
    </xf>
    <xf numFmtId="0" fontId="24" fillId="32" borderId="50" xfId="0" applyFont="1" applyFill="1" applyBorder="1" applyAlignment="1">
      <alignment horizontal="center"/>
    </xf>
  </cellXfs>
  <cellStyles count="1">
    <cellStyle name="Normal" xfId="0" builtinId="0"/>
  </cellStyles>
  <dxfs count="15">
    <dxf>
      <font>
        <color rgb="FF581C87"/>
      </font>
      <fill>
        <patternFill>
          <bgColor rgb="FFE9D5FF"/>
        </patternFill>
      </fill>
    </dxf>
    <dxf>
      <font>
        <color rgb="FF9A3412"/>
      </font>
      <fill>
        <patternFill>
          <bgColor rgb="FFFED7AA"/>
        </patternFill>
      </fill>
    </dxf>
    <dxf>
      <font>
        <color rgb="FF9A3412"/>
      </font>
      <fill>
        <patternFill>
          <bgColor rgb="FFFED7AA"/>
        </patternFill>
      </fill>
    </dxf>
    <dxf>
      <font>
        <color rgb="FF1E1B4B"/>
      </font>
      <fill>
        <patternFill>
          <bgColor rgb="FFC7D2FE"/>
        </patternFill>
      </fill>
    </dxf>
    <dxf>
      <font>
        <color rgb="FF166534"/>
      </font>
      <fill>
        <patternFill>
          <bgColor rgb="FFDCFCE7"/>
        </patternFill>
      </fill>
    </dxf>
    <dxf>
      <font>
        <color rgb="FF92400E"/>
      </font>
      <fill>
        <patternFill>
          <bgColor rgb="FFFFF3B0"/>
        </patternFill>
      </fill>
    </dxf>
    <dxf>
      <font>
        <color rgb="FF1E3A8A"/>
      </font>
      <fill>
        <patternFill>
          <bgColor rgb="FFDDEBFF"/>
        </patternFill>
      </fill>
    </dxf>
    <dxf>
      <font>
        <b/>
        <color rgb="FF9A3412"/>
      </font>
      <fill>
        <patternFill>
          <bgColor rgb="FFFFEDD5"/>
        </patternFill>
      </fill>
    </dxf>
    <dxf>
      <font>
        <color rgb="FF581C87"/>
      </font>
      <fill>
        <patternFill>
          <bgColor rgb="FFE9D5FF"/>
        </patternFill>
      </fill>
    </dxf>
    <dxf>
      <font>
        <color rgb="FF9A3412"/>
      </font>
      <fill>
        <patternFill>
          <bgColor rgb="FFFED7AA"/>
        </patternFill>
      </fill>
    </dxf>
    <dxf>
      <font>
        <color rgb="FF9A3412"/>
      </font>
      <fill>
        <patternFill>
          <bgColor rgb="FFFED7AA"/>
        </patternFill>
      </fill>
    </dxf>
    <dxf>
      <font>
        <color rgb="FF1E1B4B"/>
      </font>
      <fill>
        <patternFill>
          <bgColor rgb="FFC7D2FE"/>
        </patternFill>
      </fill>
    </dxf>
    <dxf>
      <font>
        <color rgb="FF166534"/>
      </font>
      <fill>
        <patternFill>
          <bgColor rgb="FFDCFCE7"/>
        </patternFill>
      </fill>
    </dxf>
    <dxf>
      <font>
        <color rgb="FF92400E"/>
      </font>
      <fill>
        <patternFill>
          <bgColor rgb="FFFFF3B0"/>
        </patternFill>
      </fill>
    </dxf>
    <dxf>
      <font>
        <color rgb="FF1E3A8A"/>
      </font>
      <fill>
        <patternFill>
          <bgColor rgb="FFDDEB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ptionsTable" displayName="OptionsTable" ref="A4:O104">
  <tableColumns count="15">
    <tableColumn id="1" xr3:uid="{00000000-0010-0000-0100-000001000000}" name="Option"/>
    <tableColumn id="2" xr3:uid="{00000000-0010-0000-0100-000002000000}" name="Floor 1"/>
    <tableColumn id="3" xr3:uid="{00000000-0010-0000-0100-000003000000}" name="Floor 2"/>
    <tableColumn id="4" xr3:uid="{00000000-0010-0000-0100-000004000000}" name="Floor 3"/>
    <tableColumn id="5" xr3:uid="{00000000-0010-0000-0100-000005000000}" name="Floor 4"/>
    <tableColumn id="6" xr3:uid="{00000000-0010-0000-0100-000006000000}" name="Floor 5"/>
    <tableColumn id="7" xr3:uid="{00000000-0010-0000-0100-000007000000}" name="Floor 6"/>
    <tableColumn id="8" xr3:uid="{00000000-0010-0000-0100-000008000000}" name="Floor 7"/>
    <tableColumn id="9" xr3:uid="{00000000-0010-0000-0100-000009000000}" name="Floor 8"/>
    <tableColumn id="10" xr3:uid="{00000000-0010-0000-0100-00000A000000}" name="Floor 9"/>
    <tableColumn id="11" xr3:uid="{00000000-0010-0000-0100-00000B000000}" name="Floor 10"/>
    <tableColumn id="12" xr3:uid="{00000000-0010-0000-0100-00000C000000}" name="Floor 11"/>
    <tableColumn id="13" xr3:uid="{00000000-0010-0000-0100-00000D000000}" name="Floor 12"/>
    <tableColumn id="14" xr3:uid="{00000000-0010-0000-0100-00000E000000}" name="Floor 13 - Free"/>
    <tableColumn id="15" xr3:uid="{00000000-0010-0000-0100-00000F000000}" name="Total Cos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wardCountsTable" displayName="RewardCountsTable" ref="T4:AA104">
  <tableColumns count="8">
    <tableColumn id="1" xr3:uid="{00000000-0010-0000-0200-000001000000}" name="Reward Counts"/>
    <tableColumn id="2" xr3:uid="{00000000-0010-0000-0200-000002000000}" name="Void"/>
    <tableColumn id="3" xr3:uid="{00000000-0010-0000-0200-000003000000}" name="Origin"/>
    <tableColumn id="4" xr3:uid="{00000000-0010-0000-0200-000004000000}" name="DT"/>
    <tableColumn id="5" xr3:uid="{00000000-0010-0000-0200-000005000000}" name="Star Soul"/>
    <tableColumn id="6" xr3:uid="{00000000-0010-0000-0200-000006000000}" name="Artifacts"/>
    <tableColumn id="7" xr3:uid="{00000000-0010-0000-0200-000007000000}" name="Origin Artifacts"/>
    <tableColumn id="8" xr3:uid="{00000000-0010-0000-0200-000008000000}" name="Grim"/>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stLookupTable" displayName="CostLookupTable" ref="J2:L45">
  <tableColumns count="3">
    <tableColumn id="1" xr3:uid="{00000000-0010-0000-0000-000001000000}" name="Floor Header"/>
    <tableColumn id="2" xr3:uid="{00000000-0010-0000-0000-000002000000}" name="Reward"/>
    <tableColumn id="3" xr3:uid="{00000000-0010-0000-0000-000003000000}" name="Cost"/>
  </tableColumns>
  <tableStyleInfo name="TableStyleMedium2" showFirstColumn="0" showLastColumn="0" showRowStripes="1" showColumnStripes="0"/>
</table>
</file>

<file path=xl/theme/theme1.xml><?xml version="1.0" encoding="utf-8"?>
<a:theme xmlns:a="http://schemas.openxmlformats.org/drawingml/2006/main" name="Idle Heroes Event">
  <a:themeElements>
    <a:clrScheme name="Idle Heroes Event">
      <a:dk1>
        <a:srgbClr val="111827"/>
      </a:dk1>
      <a:lt1>
        <a:srgbClr val="FFFFFF"/>
      </a:lt1>
      <a:dk2>
        <a:srgbClr val="0E2841"/>
      </a:dk2>
      <a:lt2>
        <a:srgbClr val="F3F4F6"/>
      </a:lt2>
      <a:accent1>
        <a:srgbClr val="1F4E79"/>
      </a:accent1>
      <a:accent2>
        <a:srgbClr val="F97316"/>
      </a:accent2>
      <a:accent3>
        <a:srgbClr val="16A34A"/>
      </a:accent3>
      <a:accent4>
        <a:srgbClr val="D4AF37"/>
      </a:accent4>
      <a:accent5>
        <a:srgbClr val="7C3AED"/>
      </a:accent5>
      <a:accent6>
        <a:srgbClr val="2563EB"/>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Idle Heroes Even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4"/>
  <sheetViews>
    <sheetView workbookViewId="0">
      <selection activeCell="A14" sqref="A14:XFD14"/>
    </sheetView>
  </sheetViews>
  <sheetFormatPr defaultRowHeight="13.8"/>
  <cols>
    <col min="1" max="1" width="16.796875" customWidth="1"/>
    <col min="2" max="14" width="16" customWidth="1"/>
    <col min="15" max="15" width="14" customWidth="1"/>
    <col min="16" max="16" width="11" customWidth="1"/>
    <col min="17" max="18" width="14" customWidth="1"/>
    <col min="20" max="20" width="14" customWidth="1"/>
    <col min="21" max="27" width="16" customWidth="1"/>
  </cols>
  <sheetData>
    <row r="1" spans="1:27" ht="22.35" customHeight="1">
      <c r="A1" s="113" t="s">
        <v>41</v>
      </c>
      <c r="B1" s="113"/>
      <c r="C1" s="113"/>
      <c r="D1" s="113"/>
      <c r="E1" s="113"/>
      <c r="F1" s="113"/>
      <c r="G1" s="113"/>
      <c r="H1" s="113"/>
      <c r="I1" s="113"/>
      <c r="J1" s="113"/>
      <c r="K1" s="113"/>
      <c r="L1" s="113"/>
      <c r="M1" s="113"/>
      <c r="N1" s="113"/>
      <c r="O1" s="113"/>
      <c r="Q1" s="117" t="s">
        <v>42</v>
      </c>
      <c r="R1" s="117"/>
    </row>
    <row r="2" spans="1:27" ht="28.8" customHeight="1">
      <c r="A2" s="114" t="s">
        <v>43</v>
      </c>
      <c r="B2" s="115"/>
      <c r="C2" s="115"/>
      <c r="D2" s="115"/>
      <c r="E2" s="115"/>
      <c r="F2" s="115"/>
      <c r="G2" s="115"/>
      <c r="H2" s="115"/>
      <c r="I2" s="115"/>
      <c r="J2" s="115"/>
      <c r="K2" s="115"/>
      <c r="L2" s="115"/>
      <c r="M2" s="115"/>
      <c r="N2" s="115"/>
      <c r="O2" s="116"/>
      <c r="Q2" s="59" t="s">
        <v>44</v>
      </c>
      <c r="R2" s="62">
        <v>10</v>
      </c>
    </row>
    <row r="3" spans="1:27">
      <c r="Q3" s="60" t="s">
        <v>25</v>
      </c>
      <c r="R3" s="63">
        <v>5</v>
      </c>
    </row>
    <row r="4" spans="1:27" ht="17.55" customHeight="1">
      <c r="A4" s="45" t="s">
        <v>45</v>
      </c>
      <c r="B4" s="46" t="s">
        <v>16</v>
      </c>
      <c r="C4" s="46" t="s">
        <v>21</v>
      </c>
      <c r="D4" s="46" t="s">
        <v>24</v>
      </c>
      <c r="E4" s="46" t="s">
        <v>27</v>
      </c>
      <c r="F4" s="46" t="s">
        <v>30</v>
      </c>
      <c r="G4" s="46" t="s">
        <v>33</v>
      </c>
      <c r="H4" s="46" t="s">
        <v>34</v>
      </c>
      <c r="I4" s="46" t="s">
        <v>35</v>
      </c>
      <c r="J4" s="46" t="s">
        <v>36</v>
      </c>
      <c r="K4" s="46" t="s">
        <v>37</v>
      </c>
      <c r="L4" s="46" t="s">
        <v>38</v>
      </c>
      <c r="M4" s="46" t="s">
        <v>39</v>
      </c>
      <c r="N4" s="55" t="s">
        <v>40</v>
      </c>
      <c r="O4" s="47" t="s">
        <v>46</v>
      </c>
      <c r="P4" s="81" t="s">
        <v>47</v>
      </c>
      <c r="Q4" s="61" t="s">
        <v>48</v>
      </c>
      <c r="R4" s="64">
        <v>0</v>
      </c>
      <c r="T4" s="65" t="s">
        <v>49</v>
      </c>
      <c r="U4" s="75" t="s">
        <v>14</v>
      </c>
      <c r="V4" s="76" t="s">
        <v>15</v>
      </c>
      <c r="W4" s="77" t="s">
        <v>17</v>
      </c>
      <c r="X4" s="78" t="s">
        <v>20</v>
      </c>
      <c r="Y4" s="79" t="s">
        <v>13</v>
      </c>
      <c r="Z4" s="79" t="s">
        <v>19</v>
      </c>
      <c r="AA4" s="80" t="s">
        <v>23</v>
      </c>
    </row>
    <row r="5" spans="1:27" ht="17.55" customHeight="1">
      <c r="A5" s="92" t="s">
        <v>181</v>
      </c>
      <c r="B5" s="48" t="s">
        <v>14</v>
      </c>
      <c r="C5" s="48" t="s">
        <v>15</v>
      </c>
      <c r="D5" s="48" t="s">
        <v>15</v>
      </c>
      <c r="E5" s="48"/>
      <c r="F5" s="48"/>
      <c r="G5" s="48"/>
      <c r="H5" s="48"/>
      <c r="I5" s="48"/>
      <c r="J5" s="48"/>
      <c r="K5" s="48"/>
      <c r="L5" s="48"/>
      <c r="M5" s="48"/>
      <c r="N5" s="56"/>
      <c r="O5" s="52">
        <f>SUMIFS(Rewards!$L$3:$L$45,Rewards!$J$3:$J$45,B$4,Rewards!$K$3:$K$45,B5)+SUMIFS(Rewards!$L$3:$L$45,Rewards!$J$3:$J$45,C$4,Rewards!$K$3:$K$45,C5)+SUMIFS(Rewards!$L$3:$L$45,Rewards!$J$3:$J$45,D$4,Rewards!$K$3:$K$45,D5)+SUMIFS(Rewards!$L$3:$L$45,Rewards!$J$3:$J$45,E$4,Rewards!$K$3:$K$45,E5)+SUMIFS(Rewards!$L$3:$L$45,Rewards!$J$3:$J$45,F$4,Rewards!$K$3:$K$45,F5)+SUMIFS(Rewards!$L$3:$L$45,Rewards!$J$3:$J$45,G$4,Rewards!$K$3:$K$45,G5)+SUMIFS(Rewards!$L$3:$L$45,Rewards!$J$3:$J$45,H$4,Rewards!$K$3:$K$45,H5)+SUMIFS(Rewards!$L$3:$L$45,Rewards!$J$3:$J$45,I$4,Rewards!$K$3:$K$45,I5)+SUMIFS(Rewards!$L$3:$L$45,Rewards!$J$3:$J$45,J$4,Rewards!$K$3:$K$45,J5)+SUMIFS(Rewards!$L$3:$L$45,Rewards!$J$3:$J$45,K$4,Rewards!$K$3:$K$45,K5)+SUMIFS(Rewards!$L$3:$L$45,Rewards!$J$3:$J$45,L$4,Rewards!$K$3:$K$45,L5)+SUMIFS(Rewards!$L$3:$L$45,Rewards!$J$3:$J$45,M$4,Rewards!$K$3:$K$45,M5)+SUMIFS(Rewards!$L$3:$L$45,Rewards!$J$3:$J$45,N$4,Rewards!$K$3:$K$45,N5)</f>
        <v>20</v>
      </c>
      <c r="P5" s="82">
        <f t="shared" ref="P5:P36" si="0">IF($O5&lt;=20,0,IF($O5&lt;=45,2750,IF($O5&lt;=50,3750,IF($O5&lt;=65,6500,IF($O5&lt;=70,7500,"")))))</f>
        <v>0</v>
      </c>
      <c r="T5" s="72" t="s">
        <v>50</v>
      </c>
      <c r="U5" s="66">
        <f t="shared" ref="U5:AA14" si="1">COUNTIF($B5:$N5,U$4)</f>
        <v>1</v>
      </c>
      <c r="V5" s="66">
        <f t="shared" si="1"/>
        <v>2</v>
      </c>
      <c r="W5" s="66">
        <f t="shared" si="1"/>
        <v>0</v>
      </c>
      <c r="X5" s="66">
        <f t="shared" si="1"/>
        <v>0</v>
      </c>
      <c r="Y5" s="66">
        <f t="shared" si="1"/>
        <v>0</v>
      </c>
      <c r="Z5" s="66">
        <f t="shared" si="1"/>
        <v>0</v>
      </c>
      <c r="AA5" s="67">
        <f t="shared" si="1"/>
        <v>0</v>
      </c>
    </row>
    <row r="6" spans="1:27" ht="17.55" customHeight="1">
      <c r="A6" s="50" t="s">
        <v>51</v>
      </c>
      <c r="B6" s="4" t="s">
        <v>14</v>
      </c>
      <c r="C6" s="4" t="s">
        <v>14</v>
      </c>
      <c r="D6" s="4" t="s">
        <v>15</v>
      </c>
      <c r="E6" s="4" t="s">
        <v>14</v>
      </c>
      <c r="F6" s="4"/>
      <c r="G6" s="4"/>
      <c r="H6" s="4"/>
      <c r="I6" s="4"/>
      <c r="J6" s="4"/>
      <c r="K6" s="4"/>
      <c r="L6" s="4"/>
      <c r="M6" s="4"/>
      <c r="N6" s="57"/>
      <c r="O6" s="53">
        <f>SUMIFS(Rewards!$L$3:$L$45,Rewards!$J$3:$J$45,B$4,Rewards!$K$3:$K$45,B6)+SUMIFS(Rewards!$L$3:$L$45,Rewards!$J$3:$J$45,C$4,Rewards!$K$3:$K$45,C6)+SUMIFS(Rewards!$L$3:$L$45,Rewards!$J$3:$J$45,D$4,Rewards!$K$3:$K$45,D6)+SUMIFS(Rewards!$L$3:$L$45,Rewards!$J$3:$J$45,E$4,Rewards!$K$3:$K$45,E6)+SUMIFS(Rewards!$L$3:$L$45,Rewards!$J$3:$J$45,F$4,Rewards!$K$3:$K$45,F6)+SUMIFS(Rewards!$L$3:$L$45,Rewards!$J$3:$J$45,G$4,Rewards!$K$3:$K$45,G6)+SUMIFS(Rewards!$L$3:$L$45,Rewards!$J$3:$J$45,H$4,Rewards!$K$3:$K$45,H6)+SUMIFS(Rewards!$L$3:$L$45,Rewards!$J$3:$J$45,I$4,Rewards!$K$3:$K$45,I6)+SUMIFS(Rewards!$L$3:$L$45,Rewards!$J$3:$J$45,J$4,Rewards!$K$3:$K$45,J6)+SUMIFS(Rewards!$L$3:$L$45,Rewards!$J$3:$J$45,K$4,Rewards!$K$3:$K$45,K6)+SUMIFS(Rewards!$L$3:$L$45,Rewards!$J$3:$J$45,L$4,Rewards!$K$3:$K$45,L6)+SUMIFS(Rewards!$L$3:$L$45,Rewards!$J$3:$J$45,M$4,Rewards!$K$3:$K$45,M6)+SUMIFS(Rewards!$L$3:$L$45,Rewards!$J$3:$J$45,N$4,Rewards!$K$3:$K$45,N6)</f>
        <v>20</v>
      </c>
      <c r="P6" s="82">
        <f t="shared" si="0"/>
        <v>0</v>
      </c>
      <c r="Q6" s="118" t="s">
        <v>52</v>
      </c>
      <c r="R6" s="118"/>
      <c r="T6" s="73" t="s">
        <v>51</v>
      </c>
      <c r="U6" s="68">
        <f t="shared" si="1"/>
        <v>3</v>
      </c>
      <c r="V6" s="68">
        <f t="shared" si="1"/>
        <v>1</v>
      </c>
      <c r="W6" s="68">
        <f t="shared" si="1"/>
        <v>0</v>
      </c>
      <c r="X6" s="68">
        <f t="shared" si="1"/>
        <v>0</v>
      </c>
      <c r="Y6" s="68">
        <f t="shared" si="1"/>
        <v>0</v>
      </c>
      <c r="Z6" s="68">
        <f t="shared" si="1"/>
        <v>0</v>
      </c>
      <c r="AA6" s="69">
        <f t="shared" si="1"/>
        <v>0</v>
      </c>
    </row>
    <row r="7" spans="1:27" ht="17.55" customHeight="1">
      <c r="A7" s="50" t="s">
        <v>53</v>
      </c>
      <c r="B7" s="4" t="s">
        <v>13</v>
      </c>
      <c r="C7" s="4" t="s">
        <v>13</v>
      </c>
      <c r="D7" s="4"/>
      <c r="E7" s="4"/>
      <c r="F7" s="4"/>
      <c r="G7" s="4"/>
      <c r="H7" s="4"/>
      <c r="I7" s="4"/>
      <c r="J7" s="4"/>
      <c r="K7" s="4"/>
      <c r="L7" s="4"/>
      <c r="M7" s="4"/>
      <c r="N7" s="57"/>
      <c r="O7" s="53">
        <f>SUMIFS(Rewards!$L$3:$L$45,Rewards!$J$3:$J$45,B$4,Rewards!$K$3:$K$45,B7)+SUMIFS(Rewards!$L$3:$L$45,Rewards!$J$3:$J$45,C$4,Rewards!$K$3:$K$45,C7)+SUMIFS(Rewards!$L$3:$L$45,Rewards!$J$3:$J$45,D$4,Rewards!$K$3:$K$45,D7)+SUMIFS(Rewards!$L$3:$L$45,Rewards!$J$3:$J$45,E$4,Rewards!$K$3:$K$45,E7)+SUMIFS(Rewards!$L$3:$L$45,Rewards!$J$3:$J$45,F$4,Rewards!$K$3:$K$45,F7)+SUMIFS(Rewards!$L$3:$L$45,Rewards!$J$3:$J$45,G$4,Rewards!$K$3:$K$45,G7)+SUMIFS(Rewards!$L$3:$L$45,Rewards!$J$3:$J$45,H$4,Rewards!$K$3:$K$45,H7)+SUMIFS(Rewards!$L$3:$L$45,Rewards!$J$3:$J$45,I$4,Rewards!$K$3:$K$45,I7)+SUMIFS(Rewards!$L$3:$L$45,Rewards!$J$3:$J$45,J$4,Rewards!$K$3:$K$45,J7)+SUMIFS(Rewards!$L$3:$L$45,Rewards!$J$3:$J$45,K$4,Rewards!$K$3:$K$45,K7)+SUMIFS(Rewards!$L$3:$L$45,Rewards!$J$3:$J$45,L$4,Rewards!$K$3:$K$45,L7)+SUMIFS(Rewards!$L$3:$L$45,Rewards!$J$3:$J$45,M$4,Rewards!$K$3:$K$45,M7)+SUMIFS(Rewards!$L$3:$L$45,Rewards!$J$3:$J$45,N$4,Rewards!$K$3:$K$45,N7)</f>
        <v>20</v>
      </c>
      <c r="P7" s="82">
        <f t="shared" si="0"/>
        <v>0</v>
      </c>
      <c r="Q7" s="83" t="s">
        <v>54</v>
      </c>
      <c r="R7" s="83" t="s">
        <v>47</v>
      </c>
      <c r="T7" s="73" t="s">
        <v>53</v>
      </c>
      <c r="U7" s="68">
        <f t="shared" si="1"/>
        <v>0</v>
      </c>
      <c r="V7" s="68">
        <f t="shared" si="1"/>
        <v>0</v>
      </c>
      <c r="W7" s="68">
        <f t="shared" si="1"/>
        <v>0</v>
      </c>
      <c r="X7" s="68">
        <f t="shared" si="1"/>
        <v>0</v>
      </c>
      <c r="Y7" s="68">
        <f t="shared" si="1"/>
        <v>2</v>
      </c>
      <c r="Z7" s="68">
        <f t="shared" si="1"/>
        <v>0</v>
      </c>
      <c r="AA7" s="69">
        <f t="shared" si="1"/>
        <v>0</v>
      </c>
    </row>
    <row r="8" spans="1:27" ht="17.55" customHeight="1">
      <c r="A8" s="50" t="s">
        <v>55</v>
      </c>
      <c r="B8" s="4"/>
      <c r="C8" s="4"/>
      <c r="D8" s="4"/>
      <c r="E8" s="4"/>
      <c r="F8" s="4"/>
      <c r="G8" s="4"/>
      <c r="H8" s="4"/>
      <c r="I8" s="4"/>
      <c r="J8" s="4"/>
      <c r="K8" s="4"/>
      <c r="L8" s="4"/>
      <c r="M8" s="4"/>
      <c r="N8" s="57"/>
      <c r="O8" s="53">
        <f>SUMIFS(Rewards!$L$3:$L$45,Rewards!$J$3:$J$45,B$4,Rewards!$K$3:$K$45,B8)+SUMIFS(Rewards!$L$3:$L$45,Rewards!$J$3:$J$45,C$4,Rewards!$K$3:$K$45,C8)+SUMIFS(Rewards!$L$3:$L$45,Rewards!$J$3:$J$45,D$4,Rewards!$K$3:$K$45,D8)+SUMIFS(Rewards!$L$3:$L$45,Rewards!$J$3:$J$45,E$4,Rewards!$K$3:$K$45,E8)+SUMIFS(Rewards!$L$3:$L$45,Rewards!$J$3:$J$45,F$4,Rewards!$K$3:$K$45,F8)+SUMIFS(Rewards!$L$3:$L$45,Rewards!$J$3:$J$45,G$4,Rewards!$K$3:$K$45,G8)+SUMIFS(Rewards!$L$3:$L$45,Rewards!$J$3:$J$45,H$4,Rewards!$K$3:$K$45,H8)+SUMIFS(Rewards!$L$3:$L$45,Rewards!$J$3:$J$45,I$4,Rewards!$K$3:$K$45,I8)+SUMIFS(Rewards!$L$3:$L$45,Rewards!$J$3:$J$45,J$4,Rewards!$K$3:$K$45,J8)+SUMIFS(Rewards!$L$3:$L$45,Rewards!$J$3:$J$45,K$4,Rewards!$K$3:$K$45,K8)+SUMIFS(Rewards!$L$3:$L$45,Rewards!$J$3:$J$45,L$4,Rewards!$K$3:$K$45,L8)+SUMIFS(Rewards!$L$3:$L$45,Rewards!$J$3:$J$45,M$4,Rewards!$K$3:$K$45,M8)+SUMIFS(Rewards!$L$3:$L$45,Rewards!$J$3:$J$45,N$4,Rewards!$K$3:$K$45,N8)</f>
        <v>0</v>
      </c>
      <c r="P8" s="82">
        <f t="shared" si="0"/>
        <v>0</v>
      </c>
      <c r="Q8" s="35">
        <v>20</v>
      </c>
      <c r="R8" s="84">
        <v>0</v>
      </c>
      <c r="T8" s="73" t="s">
        <v>55</v>
      </c>
      <c r="U8" s="68">
        <f t="shared" si="1"/>
        <v>0</v>
      </c>
      <c r="V8" s="68">
        <f t="shared" si="1"/>
        <v>0</v>
      </c>
      <c r="W8" s="68">
        <f t="shared" si="1"/>
        <v>0</v>
      </c>
      <c r="X8" s="68">
        <f t="shared" si="1"/>
        <v>0</v>
      </c>
      <c r="Y8" s="68">
        <f t="shared" si="1"/>
        <v>0</v>
      </c>
      <c r="Z8" s="68">
        <f t="shared" si="1"/>
        <v>0</v>
      </c>
      <c r="AA8" s="69">
        <f t="shared" si="1"/>
        <v>0</v>
      </c>
    </row>
    <row r="9" spans="1:27" ht="17.55" customHeight="1">
      <c r="A9" s="50" t="s">
        <v>56</v>
      </c>
      <c r="B9" s="4"/>
      <c r="C9" s="4"/>
      <c r="D9" s="4"/>
      <c r="E9" s="4"/>
      <c r="F9" s="4"/>
      <c r="G9" s="4"/>
      <c r="H9" s="4"/>
      <c r="I9" s="4"/>
      <c r="J9" s="4"/>
      <c r="K9" s="4"/>
      <c r="L9" s="4"/>
      <c r="M9" s="4"/>
      <c r="N9" s="57"/>
      <c r="O9" s="53">
        <f>SUMIFS(Rewards!$L$3:$L$45,Rewards!$J$3:$J$45,B$4,Rewards!$K$3:$K$45,B9)+SUMIFS(Rewards!$L$3:$L$45,Rewards!$J$3:$J$45,C$4,Rewards!$K$3:$K$45,C9)+SUMIFS(Rewards!$L$3:$L$45,Rewards!$J$3:$J$45,D$4,Rewards!$K$3:$K$45,D9)+SUMIFS(Rewards!$L$3:$L$45,Rewards!$J$3:$J$45,E$4,Rewards!$K$3:$K$45,E9)+SUMIFS(Rewards!$L$3:$L$45,Rewards!$J$3:$J$45,F$4,Rewards!$K$3:$K$45,F9)+SUMIFS(Rewards!$L$3:$L$45,Rewards!$J$3:$J$45,G$4,Rewards!$K$3:$K$45,G9)+SUMIFS(Rewards!$L$3:$L$45,Rewards!$J$3:$J$45,H$4,Rewards!$K$3:$K$45,H9)+SUMIFS(Rewards!$L$3:$L$45,Rewards!$J$3:$J$45,I$4,Rewards!$K$3:$K$45,I9)+SUMIFS(Rewards!$L$3:$L$45,Rewards!$J$3:$J$45,J$4,Rewards!$K$3:$K$45,J9)+SUMIFS(Rewards!$L$3:$L$45,Rewards!$J$3:$J$45,K$4,Rewards!$K$3:$K$45,K9)+SUMIFS(Rewards!$L$3:$L$45,Rewards!$J$3:$J$45,L$4,Rewards!$K$3:$K$45,L9)+SUMIFS(Rewards!$L$3:$L$45,Rewards!$J$3:$J$45,M$4,Rewards!$K$3:$K$45,M9)+SUMIFS(Rewards!$L$3:$L$45,Rewards!$J$3:$J$45,N$4,Rewards!$K$3:$K$45,N9)</f>
        <v>0</v>
      </c>
      <c r="P9" s="82">
        <f t="shared" si="0"/>
        <v>0</v>
      </c>
      <c r="Q9" s="35">
        <v>45</v>
      </c>
      <c r="R9" s="84">
        <v>2750</v>
      </c>
      <c r="T9" s="73" t="s">
        <v>56</v>
      </c>
      <c r="U9" s="68">
        <f t="shared" si="1"/>
        <v>0</v>
      </c>
      <c r="V9" s="68">
        <f t="shared" si="1"/>
        <v>0</v>
      </c>
      <c r="W9" s="68">
        <f t="shared" si="1"/>
        <v>0</v>
      </c>
      <c r="X9" s="68">
        <f t="shared" si="1"/>
        <v>0</v>
      </c>
      <c r="Y9" s="68">
        <f t="shared" si="1"/>
        <v>0</v>
      </c>
      <c r="Z9" s="68">
        <f t="shared" si="1"/>
        <v>0</v>
      </c>
      <c r="AA9" s="69">
        <f t="shared" si="1"/>
        <v>0</v>
      </c>
    </row>
    <row r="10" spans="1:27" ht="17.55" customHeight="1">
      <c r="A10" s="94" t="s">
        <v>182</v>
      </c>
      <c r="B10" s="4" t="s">
        <v>14</v>
      </c>
      <c r="C10" s="4" t="s">
        <v>14</v>
      </c>
      <c r="D10" s="4" t="s">
        <v>15</v>
      </c>
      <c r="E10" s="4" t="s">
        <v>19</v>
      </c>
      <c r="F10" s="4" t="s">
        <v>19</v>
      </c>
      <c r="G10" s="4" t="s">
        <v>15</v>
      </c>
      <c r="H10" s="4" t="s">
        <v>15</v>
      </c>
      <c r="I10" s="4"/>
      <c r="J10" s="4"/>
      <c r="K10" s="4"/>
      <c r="L10" s="4"/>
      <c r="M10" s="4"/>
      <c r="N10" s="57"/>
      <c r="O10" s="53">
        <f>SUMIFS(Rewards!$L$3:$L$45,Rewards!$J$3:$J$45,B$4,Rewards!$K$3:$K$45,B10)+SUMIFS(Rewards!$L$3:$L$45,Rewards!$J$3:$J$45,C$4,Rewards!$K$3:$K$45,C10)+SUMIFS(Rewards!$L$3:$L$45,Rewards!$J$3:$J$45,D$4,Rewards!$K$3:$K$45,D10)+SUMIFS(Rewards!$L$3:$L$45,Rewards!$J$3:$J$45,E$4,Rewards!$K$3:$K$45,E10)+SUMIFS(Rewards!$L$3:$L$45,Rewards!$J$3:$J$45,F$4,Rewards!$K$3:$K$45,F10)+SUMIFS(Rewards!$L$3:$L$45,Rewards!$J$3:$J$45,G$4,Rewards!$K$3:$K$45,G10)+SUMIFS(Rewards!$L$3:$L$45,Rewards!$J$3:$J$45,H$4,Rewards!$K$3:$K$45,H10)+SUMIFS(Rewards!$L$3:$L$45,Rewards!$J$3:$J$45,I$4,Rewards!$K$3:$K$45,I10)+SUMIFS(Rewards!$L$3:$L$45,Rewards!$J$3:$J$45,J$4,Rewards!$K$3:$K$45,J10)+SUMIFS(Rewards!$L$3:$L$45,Rewards!$J$3:$J$45,K$4,Rewards!$K$3:$K$45,K10)+SUMIFS(Rewards!$L$3:$L$45,Rewards!$J$3:$J$45,L$4,Rewards!$K$3:$K$45,L10)+SUMIFS(Rewards!$L$3:$L$45,Rewards!$J$3:$J$45,M$4,Rewards!$K$3:$K$45,M10)+SUMIFS(Rewards!$L$3:$L$45,Rewards!$J$3:$J$45,N$4,Rewards!$K$3:$K$45,N10)</f>
        <v>45</v>
      </c>
      <c r="P10" s="82">
        <f t="shared" si="0"/>
        <v>2750</v>
      </c>
      <c r="Q10" s="35">
        <v>50</v>
      </c>
      <c r="R10" s="84">
        <v>3750</v>
      </c>
      <c r="T10" s="73" t="s">
        <v>57</v>
      </c>
      <c r="U10" s="68">
        <f t="shared" si="1"/>
        <v>2</v>
      </c>
      <c r="V10" s="68">
        <f t="shared" si="1"/>
        <v>3</v>
      </c>
      <c r="W10" s="68">
        <f t="shared" si="1"/>
        <v>0</v>
      </c>
      <c r="X10" s="68">
        <f t="shared" si="1"/>
        <v>0</v>
      </c>
      <c r="Y10" s="68">
        <f t="shared" si="1"/>
        <v>0</v>
      </c>
      <c r="Z10" s="68">
        <f t="shared" si="1"/>
        <v>2</v>
      </c>
      <c r="AA10" s="69">
        <f t="shared" si="1"/>
        <v>0</v>
      </c>
    </row>
    <row r="11" spans="1:27" ht="17.55" customHeight="1">
      <c r="A11" s="94" t="s">
        <v>183</v>
      </c>
      <c r="B11" s="4" t="s">
        <v>14</v>
      </c>
      <c r="C11" s="4" t="s">
        <v>14</v>
      </c>
      <c r="D11" s="4" t="s">
        <v>15</v>
      </c>
      <c r="E11" s="4" t="s">
        <v>19</v>
      </c>
      <c r="F11" s="4" t="s">
        <v>19</v>
      </c>
      <c r="G11" s="4" t="s">
        <v>17</v>
      </c>
      <c r="H11" s="4"/>
      <c r="I11" s="4"/>
      <c r="J11" s="4"/>
      <c r="K11" s="4"/>
      <c r="L11" s="4"/>
      <c r="M11" s="4"/>
      <c r="N11" s="57"/>
      <c r="O11" s="53">
        <f>SUMIFS(Rewards!$L$3:$L$45,Rewards!$J$3:$J$45,B$4,Rewards!$K$3:$K$45,B11)+SUMIFS(Rewards!$L$3:$L$45,Rewards!$J$3:$J$45,C$4,Rewards!$K$3:$K$45,C11)+SUMIFS(Rewards!$L$3:$L$45,Rewards!$J$3:$J$45,D$4,Rewards!$K$3:$K$45,D11)+SUMIFS(Rewards!$L$3:$L$45,Rewards!$J$3:$J$45,E$4,Rewards!$K$3:$K$45,E11)+SUMIFS(Rewards!$L$3:$L$45,Rewards!$J$3:$J$45,F$4,Rewards!$K$3:$K$45,F11)+SUMIFS(Rewards!$L$3:$L$45,Rewards!$J$3:$J$45,G$4,Rewards!$K$3:$K$45,G11)+SUMIFS(Rewards!$L$3:$L$45,Rewards!$J$3:$J$45,H$4,Rewards!$K$3:$K$45,H11)+SUMIFS(Rewards!$L$3:$L$45,Rewards!$J$3:$J$45,I$4,Rewards!$K$3:$K$45,I11)+SUMIFS(Rewards!$L$3:$L$45,Rewards!$J$3:$J$45,J$4,Rewards!$K$3:$K$45,J11)+SUMIFS(Rewards!$L$3:$L$45,Rewards!$J$3:$J$45,K$4,Rewards!$K$3:$K$45,K11)+SUMIFS(Rewards!$L$3:$L$45,Rewards!$J$3:$J$45,L$4,Rewards!$K$3:$K$45,L11)+SUMIFS(Rewards!$L$3:$L$45,Rewards!$J$3:$J$45,M$4,Rewards!$K$3:$K$45,M11)+SUMIFS(Rewards!$L$3:$L$45,Rewards!$J$3:$J$45,N$4,Rewards!$K$3:$K$45,N11)</f>
        <v>45</v>
      </c>
      <c r="P11" s="82">
        <f t="shared" si="0"/>
        <v>2750</v>
      </c>
      <c r="Q11" s="35">
        <v>65</v>
      </c>
      <c r="R11" s="84">
        <v>6500</v>
      </c>
      <c r="T11" s="73" t="s">
        <v>58</v>
      </c>
      <c r="U11" s="68">
        <f t="shared" si="1"/>
        <v>2</v>
      </c>
      <c r="V11" s="68">
        <f t="shared" si="1"/>
        <v>1</v>
      </c>
      <c r="W11" s="68">
        <f t="shared" si="1"/>
        <v>1</v>
      </c>
      <c r="X11" s="68">
        <f t="shared" si="1"/>
        <v>0</v>
      </c>
      <c r="Y11" s="68">
        <f t="shared" si="1"/>
        <v>0</v>
      </c>
      <c r="Z11" s="68">
        <f t="shared" si="1"/>
        <v>2</v>
      </c>
      <c r="AA11" s="69">
        <f t="shared" si="1"/>
        <v>0</v>
      </c>
    </row>
    <row r="12" spans="1:27" ht="17.55" customHeight="1">
      <c r="A12" s="95" t="s">
        <v>184</v>
      </c>
      <c r="B12" s="4" t="s">
        <v>14</v>
      </c>
      <c r="C12" s="4" t="s">
        <v>14</v>
      </c>
      <c r="D12" s="4" t="s">
        <v>15</v>
      </c>
      <c r="E12" s="4" t="s">
        <v>14</v>
      </c>
      <c r="F12" s="4" t="s">
        <v>14</v>
      </c>
      <c r="G12" s="4" t="s">
        <v>15</v>
      </c>
      <c r="H12" s="4" t="s">
        <v>15</v>
      </c>
      <c r="I12" s="4" t="s">
        <v>15</v>
      </c>
      <c r="J12" s="4" t="s">
        <v>15</v>
      </c>
      <c r="K12" s="4"/>
      <c r="L12" s="4"/>
      <c r="M12" s="4"/>
      <c r="N12" s="57"/>
      <c r="O12" s="53">
        <f>SUMIFS(Rewards!$L$3:$L$45,Rewards!$J$3:$J$45,B$4,Rewards!$K$3:$K$45,B12)+SUMIFS(Rewards!$L$3:$L$45,Rewards!$J$3:$J$45,C$4,Rewards!$K$3:$K$45,C12)+SUMIFS(Rewards!$L$3:$L$45,Rewards!$J$3:$J$45,D$4,Rewards!$K$3:$K$45,D12)+SUMIFS(Rewards!$L$3:$L$45,Rewards!$J$3:$J$45,E$4,Rewards!$K$3:$K$45,E12)+SUMIFS(Rewards!$L$3:$L$45,Rewards!$J$3:$J$45,F$4,Rewards!$K$3:$K$45,F12)+SUMIFS(Rewards!$L$3:$L$45,Rewards!$J$3:$J$45,G$4,Rewards!$K$3:$K$45,G12)+SUMIFS(Rewards!$L$3:$L$45,Rewards!$J$3:$J$45,H$4,Rewards!$K$3:$K$45,H12)+SUMIFS(Rewards!$L$3:$L$45,Rewards!$J$3:$J$45,I$4,Rewards!$K$3:$K$45,I12)+SUMIFS(Rewards!$L$3:$L$45,Rewards!$J$3:$J$45,J$4,Rewards!$K$3:$K$45,J12)+SUMIFS(Rewards!$L$3:$L$45,Rewards!$J$3:$J$45,K$4,Rewards!$K$3:$K$45,K12)+SUMIFS(Rewards!$L$3:$L$45,Rewards!$J$3:$J$45,L$4,Rewards!$K$3:$K$45,L12)+SUMIFS(Rewards!$L$3:$L$45,Rewards!$J$3:$J$45,M$4,Rewards!$K$3:$K$45,M12)+SUMIFS(Rewards!$L$3:$L$45,Rewards!$J$3:$J$45,N$4,Rewards!$K$3:$K$45,N12)</f>
        <v>45</v>
      </c>
      <c r="P12" s="82">
        <f t="shared" si="0"/>
        <v>2750</v>
      </c>
      <c r="Q12" s="35">
        <v>70</v>
      </c>
      <c r="R12" s="84">
        <v>7500</v>
      </c>
      <c r="T12" s="73" t="s">
        <v>59</v>
      </c>
      <c r="U12" s="68">
        <f t="shared" si="1"/>
        <v>4</v>
      </c>
      <c r="V12" s="68">
        <f t="shared" si="1"/>
        <v>5</v>
      </c>
      <c r="W12" s="68">
        <f t="shared" si="1"/>
        <v>0</v>
      </c>
      <c r="X12" s="68">
        <f t="shared" si="1"/>
        <v>0</v>
      </c>
      <c r="Y12" s="68">
        <f t="shared" si="1"/>
        <v>0</v>
      </c>
      <c r="Z12" s="68">
        <f t="shared" si="1"/>
        <v>0</v>
      </c>
      <c r="AA12" s="69">
        <f t="shared" si="1"/>
        <v>0</v>
      </c>
    </row>
    <row r="13" spans="1:27" ht="17.55" customHeight="1">
      <c r="A13" s="91" t="s">
        <v>179</v>
      </c>
      <c r="B13" s="4" t="s">
        <v>14</v>
      </c>
      <c r="C13" s="4" t="s">
        <v>14</v>
      </c>
      <c r="D13" s="4" t="s">
        <v>15</v>
      </c>
      <c r="E13" s="4" t="s">
        <v>14</v>
      </c>
      <c r="F13" s="4" t="s">
        <v>17</v>
      </c>
      <c r="G13" s="4" t="s">
        <v>15</v>
      </c>
      <c r="H13" s="4" t="s">
        <v>23</v>
      </c>
      <c r="I13" s="4"/>
      <c r="J13" s="4"/>
      <c r="K13" s="4"/>
      <c r="L13" s="4"/>
      <c r="M13" s="4"/>
      <c r="N13" s="57"/>
      <c r="O13" s="53">
        <f>SUMIFS(Rewards!$L$3:$L$45,Rewards!$J$3:$J$45,B$4,Rewards!$K$3:$K$45,B13)+SUMIFS(Rewards!$L$3:$L$45,Rewards!$J$3:$J$45,C$4,Rewards!$K$3:$K$45,C13)+SUMIFS(Rewards!$L$3:$L$45,Rewards!$J$3:$J$45,D$4,Rewards!$K$3:$K$45,D13)+SUMIFS(Rewards!$L$3:$L$45,Rewards!$J$3:$J$45,E$4,Rewards!$K$3:$K$45,E13)+SUMIFS(Rewards!$L$3:$L$45,Rewards!$J$3:$J$45,F$4,Rewards!$K$3:$K$45,F13)+SUMIFS(Rewards!$L$3:$L$45,Rewards!$J$3:$J$45,G$4,Rewards!$K$3:$K$45,G13)+SUMIFS(Rewards!$L$3:$L$45,Rewards!$J$3:$J$45,H$4,Rewards!$K$3:$K$45,H13)+SUMIFS(Rewards!$L$3:$L$45,Rewards!$J$3:$J$45,I$4,Rewards!$K$3:$K$45,I13)+SUMIFS(Rewards!$L$3:$L$45,Rewards!$J$3:$J$45,J$4,Rewards!$K$3:$K$45,J13)+SUMIFS(Rewards!$L$3:$L$45,Rewards!$J$3:$J$45,K$4,Rewards!$K$3:$K$45,K13)+SUMIFS(Rewards!$L$3:$L$45,Rewards!$J$3:$J$45,L$4,Rewards!$K$3:$K$45,L13)+SUMIFS(Rewards!$L$3:$L$45,Rewards!$J$3:$J$45,M$4,Rewards!$K$3:$K$45,M13)+SUMIFS(Rewards!$L$3:$L$45,Rewards!$J$3:$J$45,N$4,Rewards!$K$3:$K$45,N13)</f>
        <v>45</v>
      </c>
      <c r="P13" s="82">
        <f t="shared" si="0"/>
        <v>2750</v>
      </c>
      <c r="T13" s="73" t="s">
        <v>60</v>
      </c>
      <c r="U13" s="68">
        <f t="shared" si="1"/>
        <v>3</v>
      </c>
      <c r="V13" s="68">
        <f t="shared" si="1"/>
        <v>2</v>
      </c>
      <c r="W13" s="68">
        <f t="shared" si="1"/>
        <v>1</v>
      </c>
      <c r="X13" s="68">
        <f t="shared" si="1"/>
        <v>0</v>
      </c>
      <c r="Y13" s="68">
        <f t="shared" si="1"/>
        <v>0</v>
      </c>
      <c r="Z13" s="68">
        <f t="shared" si="1"/>
        <v>0</v>
      </c>
      <c r="AA13" s="69">
        <f t="shared" si="1"/>
        <v>1</v>
      </c>
    </row>
    <row r="14" spans="1:27" ht="17.55" customHeight="1">
      <c r="A14" s="50" t="s">
        <v>61</v>
      </c>
      <c r="B14" s="4" t="s">
        <v>14</v>
      </c>
      <c r="C14" s="4" t="s">
        <v>14</v>
      </c>
      <c r="D14" s="4" t="s">
        <v>15</v>
      </c>
      <c r="E14" s="4" t="s">
        <v>14</v>
      </c>
      <c r="F14" s="4" t="s">
        <v>14</v>
      </c>
      <c r="G14" s="4" t="s">
        <v>15</v>
      </c>
      <c r="H14" s="4" t="s">
        <v>23</v>
      </c>
      <c r="I14" s="4" t="s">
        <v>15</v>
      </c>
      <c r="J14" s="4"/>
      <c r="K14" s="4"/>
      <c r="L14" s="4"/>
      <c r="M14" s="4"/>
      <c r="N14" s="57"/>
      <c r="O14" s="53">
        <f>SUMIFS(Rewards!$L$3:$L$45,Rewards!$J$3:$J$45,B$4,Rewards!$K$3:$K$45,B14)+SUMIFS(Rewards!$L$3:$L$45,Rewards!$J$3:$J$45,C$4,Rewards!$K$3:$K$45,C14)+SUMIFS(Rewards!$L$3:$L$45,Rewards!$J$3:$J$45,D$4,Rewards!$K$3:$K$45,D14)+SUMIFS(Rewards!$L$3:$L$45,Rewards!$J$3:$J$45,E$4,Rewards!$K$3:$K$45,E14)+SUMIFS(Rewards!$L$3:$L$45,Rewards!$J$3:$J$45,F$4,Rewards!$K$3:$K$45,F14)+SUMIFS(Rewards!$L$3:$L$45,Rewards!$J$3:$J$45,G$4,Rewards!$K$3:$K$45,G14)+SUMIFS(Rewards!$L$3:$L$45,Rewards!$J$3:$J$45,H$4,Rewards!$K$3:$K$45,H14)+SUMIFS(Rewards!$L$3:$L$45,Rewards!$J$3:$J$45,I$4,Rewards!$K$3:$K$45,I14)+SUMIFS(Rewards!$L$3:$L$45,Rewards!$J$3:$J$45,J$4,Rewards!$K$3:$K$45,J14)+SUMIFS(Rewards!$L$3:$L$45,Rewards!$J$3:$J$45,K$4,Rewards!$K$3:$K$45,K14)+SUMIFS(Rewards!$L$3:$L$45,Rewards!$J$3:$J$45,L$4,Rewards!$K$3:$K$45,L14)+SUMIFS(Rewards!$L$3:$L$45,Rewards!$J$3:$J$45,M$4,Rewards!$K$3:$K$45,M14)+SUMIFS(Rewards!$L$3:$L$45,Rewards!$J$3:$J$45,N$4,Rewards!$K$3:$K$45,N14)</f>
        <v>45</v>
      </c>
      <c r="P14" s="82">
        <f t="shared" si="0"/>
        <v>2750</v>
      </c>
      <c r="T14" s="73" t="s">
        <v>61</v>
      </c>
      <c r="U14" s="68">
        <f t="shared" si="1"/>
        <v>4</v>
      </c>
      <c r="V14" s="68">
        <f t="shared" si="1"/>
        <v>3</v>
      </c>
      <c r="W14" s="68">
        <f t="shared" si="1"/>
        <v>0</v>
      </c>
      <c r="X14" s="68">
        <f t="shared" si="1"/>
        <v>0</v>
      </c>
      <c r="Y14" s="68">
        <f t="shared" si="1"/>
        <v>0</v>
      </c>
      <c r="Z14" s="68">
        <f t="shared" si="1"/>
        <v>0</v>
      </c>
      <c r="AA14" s="69">
        <f t="shared" si="1"/>
        <v>1</v>
      </c>
    </row>
    <row r="15" spans="1:27" ht="17.55" customHeight="1">
      <c r="A15" s="50" t="s">
        <v>62</v>
      </c>
      <c r="B15" s="4" t="s">
        <v>14</v>
      </c>
      <c r="C15" s="4" t="s">
        <v>14</v>
      </c>
      <c r="D15" s="4" t="s">
        <v>15</v>
      </c>
      <c r="E15" s="4" t="s">
        <v>14</v>
      </c>
      <c r="F15" s="4" t="s">
        <v>17</v>
      </c>
      <c r="G15" s="4" t="s">
        <v>17</v>
      </c>
      <c r="H15" s="4" t="s">
        <v>15</v>
      </c>
      <c r="I15" s="4"/>
      <c r="J15" s="4"/>
      <c r="K15" s="4"/>
      <c r="L15" s="4"/>
      <c r="M15" s="4"/>
      <c r="N15" s="57"/>
      <c r="O15" s="53">
        <f>SUMIFS(Rewards!$L$3:$L$45,Rewards!$J$3:$J$45,B$4,Rewards!$K$3:$K$45,B15)+SUMIFS(Rewards!$L$3:$L$45,Rewards!$J$3:$J$45,C$4,Rewards!$K$3:$K$45,C15)+SUMIFS(Rewards!$L$3:$L$45,Rewards!$J$3:$J$45,D$4,Rewards!$K$3:$K$45,D15)+SUMIFS(Rewards!$L$3:$L$45,Rewards!$J$3:$J$45,E$4,Rewards!$K$3:$K$45,E15)+SUMIFS(Rewards!$L$3:$L$45,Rewards!$J$3:$J$45,F$4,Rewards!$K$3:$K$45,F15)+SUMIFS(Rewards!$L$3:$L$45,Rewards!$J$3:$J$45,G$4,Rewards!$K$3:$K$45,G15)+SUMIFS(Rewards!$L$3:$L$45,Rewards!$J$3:$J$45,H$4,Rewards!$K$3:$K$45,H15)+SUMIFS(Rewards!$L$3:$L$45,Rewards!$J$3:$J$45,I$4,Rewards!$K$3:$K$45,I15)+SUMIFS(Rewards!$L$3:$L$45,Rewards!$J$3:$J$45,J$4,Rewards!$K$3:$K$45,J15)+SUMIFS(Rewards!$L$3:$L$45,Rewards!$J$3:$J$45,K$4,Rewards!$K$3:$K$45,K15)+SUMIFS(Rewards!$L$3:$L$45,Rewards!$J$3:$J$45,L$4,Rewards!$K$3:$K$45,L15)+SUMIFS(Rewards!$L$3:$L$45,Rewards!$J$3:$J$45,M$4,Rewards!$K$3:$K$45,M15)+SUMIFS(Rewards!$L$3:$L$45,Rewards!$J$3:$J$45,N$4,Rewards!$K$3:$K$45,N15)</f>
        <v>45</v>
      </c>
      <c r="P15" s="82">
        <f t="shared" si="0"/>
        <v>2750</v>
      </c>
      <c r="T15" s="73" t="s">
        <v>62</v>
      </c>
      <c r="U15" s="68">
        <f t="shared" ref="U15:AA24" si="2">COUNTIF($B15:$N15,U$4)</f>
        <v>3</v>
      </c>
      <c r="V15" s="68">
        <f t="shared" si="2"/>
        <v>2</v>
      </c>
      <c r="W15" s="68">
        <f t="shared" si="2"/>
        <v>2</v>
      </c>
      <c r="X15" s="68">
        <f t="shared" si="2"/>
        <v>0</v>
      </c>
      <c r="Y15" s="68">
        <f t="shared" si="2"/>
        <v>0</v>
      </c>
      <c r="Z15" s="68">
        <f t="shared" si="2"/>
        <v>0</v>
      </c>
      <c r="AA15" s="69">
        <f t="shared" si="2"/>
        <v>0</v>
      </c>
    </row>
    <row r="16" spans="1:27" ht="17.55" customHeight="1">
      <c r="A16" s="50" t="s">
        <v>195</v>
      </c>
      <c r="B16" s="4" t="s">
        <v>14</v>
      </c>
      <c r="C16" s="4" t="s">
        <v>14</v>
      </c>
      <c r="D16" s="4" t="s">
        <v>15</v>
      </c>
      <c r="E16" s="4" t="s">
        <v>17</v>
      </c>
      <c r="F16" s="4" t="s">
        <v>17</v>
      </c>
      <c r="G16" s="4" t="s">
        <v>17</v>
      </c>
      <c r="H16" s="4"/>
      <c r="I16" s="4"/>
      <c r="J16" s="4"/>
      <c r="K16" s="4"/>
      <c r="L16" s="4"/>
      <c r="M16" s="4"/>
      <c r="N16" s="57"/>
      <c r="O16" s="53">
        <f>SUMIFS(Rewards!$L$3:$L$45,Rewards!$J$3:$J$45,B$4,Rewards!$K$3:$K$45,B16)+SUMIFS(Rewards!$L$3:$L$45,Rewards!$J$3:$J$45,C$4,Rewards!$K$3:$K$45,C16)+SUMIFS(Rewards!$L$3:$L$45,Rewards!$J$3:$J$45,D$4,Rewards!$K$3:$K$45,D16)+SUMIFS(Rewards!$L$3:$L$45,Rewards!$J$3:$J$45,E$4,Rewards!$K$3:$K$45,E16)+SUMIFS(Rewards!$L$3:$L$45,Rewards!$J$3:$J$45,F$4,Rewards!$K$3:$K$45,F16)+SUMIFS(Rewards!$L$3:$L$45,Rewards!$J$3:$J$45,G$4,Rewards!$K$3:$K$45,G16)+SUMIFS(Rewards!$L$3:$L$45,Rewards!$J$3:$J$45,H$4,Rewards!$K$3:$K$45,H16)+SUMIFS(Rewards!$L$3:$L$45,Rewards!$J$3:$J$45,I$4,Rewards!$K$3:$K$45,I16)+SUMIFS(Rewards!$L$3:$L$45,Rewards!$J$3:$J$45,J$4,Rewards!$K$3:$K$45,J16)+SUMIFS(Rewards!$L$3:$L$45,Rewards!$J$3:$J$45,K$4,Rewards!$K$3:$K$45,K16)+SUMIFS(Rewards!$L$3:$L$45,Rewards!$J$3:$J$45,L$4,Rewards!$K$3:$K$45,L16)+SUMIFS(Rewards!$L$3:$L$45,Rewards!$J$3:$J$45,M$4,Rewards!$K$3:$K$45,M16)+SUMIFS(Rewards!$L$3:$L$45,Rewards!$J$3:$J$45,N$4,Rewards!$K$3:$K$45,N16)</f>
        <v>45</v>
      </c>
      <c r="P16" s="82">
        <f t="shared" si="0"/>
        <v>2750</v>
      </c>
      <c r="T16" s="73" t="s">
        <v>63</v>
      </c>
      <c r="U16" s="68">
        <f t="shared" si="2"/>
        <v>2</v>
      </c>
      <c r="V16" s="68">
        <f t="shared" si="2"/>
        <v>1</v>
      </c>
      <c r="W16" s="68">
        <f t="shared" si="2"/>
        <v>3</v>
      </c>
      <c r="X16" s="68">
        <f t="shared" si="2"/>
        <v>0</v>
      </c>
      <c r="Y16" s="68">
        <f t="shared" si="2"/>
        <v>0</v>
      </c>
      <c r="Z16" s="68">
        <f t="shared" si="2"/>
        <v>0</v>
      </c>
      <c r="AA16" s="69">
        <f t="shared" si="2"/>
        <v>0</v>
      </c>
    </row>
    <row r="17" spans="1:27" ht="17.55" customHeight="1">
      <c r="A17" s="50" t="s">
        <v>64</v>
      </c>
      <c r="B17" s="4" t="s">
        <v>14</v>
      </c>
      <c r="C17" s="4" t="s">
        <v>14</v>
      </c>
      <c r="D17" s="4" t="s">
        <v>15</v>
      </c>
      <c r="E17" s="4" t="s">
        <v>17</v>
      </c>
      <c r="F17" s="4" t="s">
        <v>17</v>
      </c>
      <c r="G17" s="4" t="s">
        <v>15</v>
      </c>
      <c r="H17" s="4" t="s">
        <v>15</v>
      </c>
      <c r="I17" s="4"/>
      <c r="J17" s="4"/>
      <c r="K17" s="4"/>
      <c r="L17" s="4"/>
      <c r="M17" s="4"/>
      <c r="N17" s="57"/>
      <c r="O17" s="53">
        <f>SUMIFS(Rewards!$L$3:$L$45,Rewards!$J$3:$J$45,B$4,Rewards!$K$3:$K$45,B17)+SUMIFS(Rewards!$L$3:$L$45,Rewards!$J$3:$J$45,C$4,Rewards!$K$3:$K$45,C17)+SUMIFS(Rewards!$L$3:$L$45,Rewards!$J$3:$J$45,D$4,Rewards!$K$3:$K$45,D17)+SUMIFS(Rewards!$L$3:$L$45,Rewards!$J$3:$J$45,E$4,Rewards!$K$3:$K$45,E17)+SUMIFS(Rewards!$L$3:$L$45,Rewards!$J$3:$J$45,F$4,Rewards!$K$3:$K$45,F17)+SUMIFS(Rewards!$L$3:$L$45,Rewards!$J$3:$J$45,G$4,Rewards!$K$3:$K$45,G17)+SUMIFS(Rewards!$L$3:$L$45,Rewards!$J$3:$J$45,H$4,Rewards!$K$3:$K$45,H17)+SUMIFS(Rewards!$L$3:$L$45,Rewards!$J$3:$J$45,I$4,Rewards!$K$3:$K$45,I17)+SUMIFS(Rewards!$L$3:$L$45,Rewards!$J$3:$J$45,J$4,Rewards!$K$3:$K$45,J17)+SUMIFS(Rewards!$L$3:$L$45,Rewards!$J$3:$J$45,K$4,Rewards!$K$3:$K$45,K17)+SUMIFS(Rewards!$L$3:$L$45,Rewards!$J$3:$J$45,L$4,Rewards!$K$3:$K$45,L17)+SUMIFS(Rewards!$L$3:$L$45,Rewards!$J$3:$J$45,M$4,Rewards!$K$3:$K$45,M17)+SUMIFS(Rewards!$L$3:$L$45,Rewards!$J$3:$J$45,N$4,Rewards!$K$3:$K$45,N17)</f>
        <v>45</v>
      </c>
      <c r="P17" s="82">
        <f t="shared" si="0"/>
        <v>2750</v>
      </c>
      <c r="T17" s="73" t="s">
        <v>64</v>
      </c>
      <c r="U17" s="68">
        <f t="shared" si="2"/>
        <v>2</v>
      </c>
      <c r="V17" s="68">
        <f t="shared" si="2"/>
        <v>3</v>
      </c>
      <c r="W17" s="68">
        <f t="shared" si="2"/>
        <v>2</v>
      </c>
      <c r="X17" s="68">
        <f t="shared" si="2"/>
        <v>0</v>
      </c>
      <c r="Y17" s="68">
        <f t="shared" si="2"/>
        <v>0</v>
      </c>
      <c r="Z17" s="68">
        <f t="shared" si="2"/>
        <v>0</v>
      </c>
      <c r="AA17" s="69">
        <f t="shared" si="2"/>
        <v>0</v>
      </c>
    </row>
    <row r="18" spans="1:27" ht="17.55" customHeight="1">
      <c r="A18" s="50" t="s">
        <v>65</v>
      </c>
      <c r="B18" s="4" t="s">
        <v>14</v>
      </c>
      <c r="C18" s="4" t="s">
        <v>14</v>
      </c>
      <c r="D18" s="4" t="s">
        <v>15</v>
      </c>
      <c r="E18" s="4" t="s">
        <v>14</v>
      </c>
      <c r="F18" s="4" t="s">
        <v>17</v>
      </c>
      <c r="G18" s="4" t="s">
        <v>17</v>
      </c>
      <c r="H18" s="4" t="s">
        <v>23</v>
      </c>
      <c r="I18" s="4"/>
      <c r="J18" s="4"/>
      <c r="K18" s="4"/>
      <c r="L18" s="4"/>
      <c r="M18" s="4"/>
      <c r="N18" s="57"/>
      <c r="O18" s="53">
        <f>SUMIFS(Rewards!$L$3:$L$45,Rewards!$J$3:$J$45,B$4,Rewards!$K$3:$K$45,B18)+SUMIFS(Rewards!$L$3:$L$45,Rewards!$J$3:$J$45,C$4,Rewards!$K$3:$K$45,C18)+SUMIFS(Rewards!$L$3:$L$45,Rewards!$J$3:$J$45,D$4,Rewards!$K$3:$K$45,D18)+SUMIFS(Rewards!$L$3:$L$45,Rewards!$J$3:$J$45,E$4,Rewards!$K$3:$K$45,E18)+SUMIFS(Rewards!$L$3:$L$45,Rewards!$J$3:$J$45,F$4,Rewards!$K$3:$K$45,F18)+SUMIFS(Rewards!$L$3:$L$45,Rewards!$J$3:$J$45,G$4,Rewards!$K$3:$K$45,G18)+SUMIFS(Rewards!$L$3:$L$45,Rewards!$J$3:$J$45,H$4,Rewards!$K$3:$K$45,H18)+SUMIFS(Rewards!$L$3:$L$45,Rewards!$J$3:$J$45,I$4,Rewards!$K$3:$K$45,I18)+SUMIFS(Rewards!$L$3:$L$45,Rewards!$J$3:$J$45,J$4,Rewards!$K$3:$K$45,J18)+SUMIFS(Rewards!$L$3:$L$45,Rewards!$J$3:$J$45,K$4,Rewards!$K$3:$K$45,K18)+SUMIFS(Rewards!$L$3:$L$45,Rewards!$J$3:$J$45,L$4,Rewards!$K$3:$K$45,L18)+SUMIFS(Rewards!$L$3:$L$45,Rewards!$J$3:$J$45,M$4,Rewards!$K$3:$K$45,M18)+SUMIFS(Rewards!$L$3:$L$45,Rewards!$J$3:$J$45,N$4,Rewards!$K$3:$K$45,N18)</f>
        <v>50</v>
      </c>
      <c r="P18" s="82">
        <f t="shared" si="0"/>
        <v>3750</v>
      </c>
      <c r="T18" s="73" t="s">
        <v>65</v>
      </c>
      <c r="U18" s="68">
        <f t="shared" si="2"/>
        <v>3</v>
      </c>
      <c r="V18" s="68">
        <f t="shared" si="2"/>
        <v>1</v>
      </c>
      <c r="W18" s="68">
        <f t="shared" si="2"/>
        <v>2</v>
      </c>
      <c r="X18" s="68">
        <f t="shared" si="2"/>
        <v>0</v>
      </c>
      <c r="Y18" s="68">
        <f t="shared" si="2"/>
        <v>0</v>
      </c>
      <c r="Z18" s="68">
        <f t="shared" si="2"/>
        <v>0</v>
      </c>
      <c r="AA18" s="69">
        <f t="shared" si="2"/>
        <v>1</v>
      </c>
    </row>
    <row r="19" spans="1:27" ht="17.55" customHeight="1">
      <c r="A19" s="50" t="s">
        <v>66</v>
      </c>
      <c r="B19" s="4"/>
      <c r="C19" s="4"/>
      <c r="D19" s="4"/>
      <c r="E19" s="4"/>
      <c r="F19" s="4"/>
      <c r="G19" s="4"/>
      <c r="H19" s="4"/>
      <c r="I19" s="4"/>
      <c r="J19" s="4"/>
      <c r="K19" s="4"/>
      <c r="L19" s="4"/>
      <c r="M19" s="4"/>
      <c r="N19" s="57"/>
      <c r="O19" s="53">
        <f>SUMIFS(Rewards!$L$3:$L$45,Rewards!$J$3:$J$45,B$4,Rewards!$K$3:$K$45,B19)+SUMIFS(Rewards!$L$3:$L$45,Rewards!$J$3:$J$45,C$4,Rewards!$K$3:$K$45,C19)+SUMIFS(Rewards!$L$3:$L$45,Rewards!$J$3:$J$45,D$4,Rewards!$K$3:$K$45,D19)+SUMIFS(Rewards!$L$3:$L$45,Rewards!$J$3:$J$45,E$4,Rewards!$K$3:$K$45,E19)+SUMIFS(Rewards!$L$3:$L$45,Rewards!$J$3:$J$45,F$4,Rewards!$K$3:$K$45,F19)+SUMIFS(Rewards!$L$3:$L$45,Rewards!$J$3:$J$45,G$4,Rewards!$K$3:$K$45,G19)+SUMIFS(Rewards!$L$3:$L$45,Rewards!$J$3:$J$45,H$4,Rewards!$K$3:$K$45,H19)+SUMIFS(Rewards!$L$3:$L$45,Rewards!$J$3:$J$45,I$4,Rewards!$K$3:$K$45,I19)+SUMIFS(Rewards!$L$3:$L$45,Rewards!$J$3:$J$45,J$4,Rewards!$K$3:$K$45,J19)+SUMIFS(Rewards!$L$3:$L$45,Rewards!$J$3:$J$45,K$4,Rewards!$K$3:$K$45,K19)+SUMIFS(Rewards!$L$3:$L$45,Rewards!$J$3:$J$45,L$4,Rewards!$K$3:$K$45,L19)+SUMIFS(Rewards!$L$3:$L$45,Rewards!$J$3:$J$45,M$4,Rewards!$K$3:$K$45,M19)+SUMIFS(Rewards!$L$3:$L$45,Rewards!$J$3:$J$45,N$4,Rewards!$K$3:$K$45,N19)</f>
        <v>0</v>
      </c>
      <c r="P19" s="82">
        <f t="shared" si="0"/>
        <v>0</v>
      </c>
      <c r="T19" s="73" t="s">
        <v>66</v>
      </c>
      <c r="U19" s="68">
        <f t="shared" si="2"/>
        <v>0</v>
      </c>
      <c r="V19" s="68">
        <f t="shared" si="2"/>
        <v>0</v>
      </c>
      <c r="W19" s="68">
        <f t="shared" si="2"/>
        <v>0</v>
      </c>
      <c r="X19" s="68">
        <f t="shared" si="2"/>
        <v>0</v>
      </c>
      <c r="Y19" s="68">
        <f t="shared" si="2"/>
        <v>0</v>
      </c>
      <c r="Z19" s="68">
        <f t="shared" si="2"/>
        <v>0</v>
      </c>
      <c r="AA19" s="69">
        <f t="shared" si="2"/>
        <v>0</v>
      </c>
    </row>
    <row r="20" spans="1:27" ht="17.55" customHeight="1">
      <c r="A20" s="91" t="s">
        <v>185</v>
      </c>
      <c r="B20" s="4" t="s">
        <v>14</v>
      </c>
      <c r="C20" s="4" t="s">
        <v>14</v>
      </c>
      <c r="D20" s="4" t="s">
        <v>15</v>
      </c>
      <c r="E20" s="4" t="s">
        <v>14</v>
      </c>
      <c r="F20" s="4" t="s">
        <v>14</v>
      </c>
      <c r="G20" s="4" t="s">
        <v>15</v>
      </c>
      <c r="H20" s="4" t="s">
        <v>23</v>
      </c>
      <c r="I20" s="4" t="s">
        <v>15</v>
      </c>
      <c r="J20" s="4" t="s">
        <v>15</v>
      </c>
      <c r="K20" s="4" t="s">
        <v>17</v>
      </c>
      <c r="L20" s="4" t="s">
        <v>17</v>
      </c>
      <c r="M20" s="4" t="s">
        <v>15</v>
      </c>
      <c r="N20" s="57" t="s">
        <v>23</v>
      </c>
      <c r="O20" s="53">
        <f>SUMIFS(Rewards!$L$3:$L$45,Rewards!$J$3:$J$45,B$4,Rewards!$K$3:$K$45,B20)+SUMIFS(Rewards!$L$3:$L$45,Rewards!$J$3:$J$45,C$4,Rewards!$K$3:$K$45,C20)+SUMIFS(Rewards!$L$3:$L$45,Rewards!$J$3:$J$45,D$4,Rewards!$K$3:$K$45,D20)+SUMIFS(Rewards!$L$3:$L$45,Rewards!$J$3:$J$45,E$4,Rewards!$K$3:$K$45,E20)+SUMIFS(Rewards!$L$3:$L$45,Rewards!$J$3:$J$45,F$4,Rewards!$K$3:$K$45,F20)+SUMIFS(Rewards!$L$3:$L$45,Rewards!$J$3:$J$45,G$4,Rewards!$K$3:$K$45,G20)+SUMIFS(Rewards!$L$3:$L$45,Rewards!$J$3:$J$45,H$4,Rewards!$K$3:$K$45,H20)+SUMIFS(Rewards!$L$3:$L$45,Rewards!$J$3:$J$45,I$4,Rewards!$K$3:$K$45,I20)+SUMIFS(Rewards!$L$3:$L$45,Rewards!$J$3:$J$45,J$4,Rewards!$K$3:$K$45,J20)+SUMIFS(Rewards!$L$3:$L$45,Rewards!$J$3:$J$45,K$4,Rewards!$K$3:$K$45,K20)+SUMIFS(Rewards!$L$3:$L$45,Rewards!$J$3:$J$45,L$4,Rewards!$K$3:$K$45,L20)+SUMIFS(Rewards!$L$3:$L$45,Rewards!$J$3:$J$45,M$4,Rewards!$K$3:$K$45,M20)+SUMIFS(Rewards!$L$3:$L$45,Rewards!$J$3:$J$45,N$4,Rewards!$K$3:$K$45,N20)</f>
        <v>65</v>
      </c>
      <c r="P20" s="82">
        <f t="shared" si="0"/>
        <v>6500</v>
      </c>
      <c r="T20" s="73" t="s">
        <v>67</v>
      </c>
      <c r="U20" s="68">
        <f t="shared" si="2"/>
        <v>4</v>
      </c>
      <c r="V20" s="68">
        <f t="shared" si="2"/>
        <v>5</v>
      </c>
      <c r="W20" s="68">
        <f t="shared" si="2"/>
        <v>2</v>
      </c>
      <c r="X20" s="68">
        <f t="shared" si="2"/>
        <v>0</v>
      </c>
      <c r="Y20" s="68">
        <f t="shared" si="2"/>
        <v>0</v>
      </c>
      <c r="Z20" s="68">
        <f t="shared" si="2"/>
        <v>0</v>
      </c>
      <c r="AA20" s="69">
        <f t="shared" si="2"/>
        <v>2</v>
      </c>
    </row>
    <row r="21" spans="1:27" ht="17.55" customHeight="1">
      <c r="A21" s="50" t="s">
        <v>68</v>
      </c>
      <c r="B21" s="4" t="s">
        <v>14</v>
      </c>
      <c r="C21" s="4" t="s">
        <v>14</v>
      </c>
      <c r="D21" s="4" t="s">
        <v>15</v>
      </c>
      <c r="E21" s="4" t="s">
        <v>14</v>
      </c>
      <c r="F21" s="4" t="s">
        <v>14</v>
      </c>
      <c r="G21" s="4" t="s">
        <v>15</v>
      </c>
      <c r="H21" s="4" t="s">
        <v>23</v>
      </c>
      <c r="I21" s="4" t="s">
        <v>15</v>
      </c>
      <c r="J21" s="4" t="s">
        <v>15</v>
      </c>
      <c r="K21" s="4" t="s">
        <v>17</v>
      </c>
      <c r="L21" s="4" t="s">
        <v>17</v>
      </c>
      <c r="M21" s="4" t="s">
        <v>17</v>
      </c>
      <c r="N21" s="57" t="s">
        <v>23</v>
      </c>
      <c r="O21" s="53">
        <f>SUMIFS(Rewards!$L$3:$L$45,Rewards!$J$3:$J$45,B$4,Rewards!$K$3:$K$45,B21)+SUMIFS(Rewards!$L$3:$L$45,Rewards!$J$3:$J$45,C$4,Rewards!$K$3:$K$45,C21)+SUMIFS(Rewards!$L$3:$L$45,Rewards!$J$3:$J$45,D$4,Rewards!$K$3:$K$45,D21)+SUMIFS(Rewards!$L$3:$L$45,Rewards!$J$3:$J$45,E$4,Rewards!$K$3:$K$45,E21)+SUMIFS(Rewards!$L$3:$L$45,Rewards!$J$3:$J$45,F$4,Rewards!$K$3:$K$45,F21)+SUMIFS(Rewards!$L$3:$L$45,Rewards!$J$3:$J$45,G$4,Rewards!$K$3:$K$45,G21)+SUMIFS(Rewards!$L$3:$L$45,Rewards!$J$3:$J$45,H$4,Rewards!$K$3:$K$45,H21)+SUMIFS(Rewards!$L$3:$L$45,Rewards!$J$3:$J$45,I$4,Rewards!$K$3:$K$45,I21)+SUMIFS(Rewards!$L$3:$L$45,Rewards!$J$3:$J$45,J$4,Rewards!$K$3:$K$45,J21)+SUMIFS(Rewards!$L$3:$L$45,Rewards!$J$3:$J$45,K$4,Rewards!$K$3:$K$45,K21)+SUMIFS(Rewards!$L$3:$L$45,Rewards!$J$3:$J$45,L$4,Rewards!$K$3:$K$45,L21)+SUMIFS(Rewards!$L$3:$L$45,Rewards!$J$3:$J$45,M$4,Rewards!$K$3:$K$45,M21)+SUMIFS(Rewards!$L$3:$L$45,Rewards!$J$3:$J$45,N$4,Rewards!$K$3:$K$45,N21)</f>
        <v>70</v>
      </c>
      <c r="P21" s="82">
        <f t="shared" si="0"/>
        <v>7500</v>
      </c>
      <c r="T21" s="73" t="s">
        <v>68</v>
      </c>
      <c r="U21" s="68">
        <f t="shared" si="2"/>
        <v>4</v>
      </c>
      <c r="V21" s="68">
        <f t="shared" si="2"/>
        <v>4</v>
      </c>
      <c r="W21" s="68">
        <f t="shared" si="2"/>
        <v>3</v>
      </c>
      <c r="X21" s="68">
        <f t="shared" si="2"/>
        <v>0</v>
      </c>
      <c r="Y21" s="68">
        <f t="shared" si="2"/>
        <v>0</v>
      </c>
      <c r="Z21" s="68">
        <f t="shared" si="2"/>
        <v>0</v>
      </c>
      <c r="AA21" s="69">
        <f t="shared" si="2"/>
        <v>2</v>
      </c>
    </row>
    <row r="22" spans="1:27" ht="17.55" customHeight="1">
      <c r="A22" s="93" t="s">
        <v>180</v>
      </c>
      <c r="B22" s="4" t="s">
        <v>14</v>
      </c>
      <c r="C22" s="4" t="s">
        <v>14</v>
      </c>
      <c r="D22" s="4" t="s">
        <v>15</v>
      </c>
      <c r="E22" s="4" t="s">
        <v>14</v>
      </c>
      <c r="F22" s="4" t="s">
        <v>14</v>
      </c>
      <c r="G22" s="4" t="s">
        <v>15</v>
      </c>
      <c r="H22" s="4" t="s">
        <v>23</v>
      </c>
      <c r="I22" s="4" t="s">
        <v>15</v>
      </c>
      <c r="J22" s="4" t="s">
        <v>15</v>
      </c>
      <c r="K22" s="4" t="s">
        <v>23</v>
      </c>
      <c r="L22" s="4" t="s">
        <v>17</v>
      </c>
      <c r="M22" s="4" t="s">
        <v>15</v>
      </c>
      <c r="N22" s="57" t="s">
        <v>23</v>
      </c>
      <c r="O22" s="53">
        <f>SUMIFS(Rewards!$L$3:$L$45,Rewards!$J$3:$J$45,B$4,Rewards!$K$3:$K$45,B22)+SUMIFS(Rewards!$L$3:$L$45,Rewards!$J$3:$J$45,C$4,Rewards!$K$3:$K$45,C22)+SUMIFS(Rewards!$L$3:$L$45,Rewards!$J$3:$J$45,D$4,Rewards!$K$3:$K$45,D22)+SUMIFS(Rewards!$L$3:$L$45,Rewards!$J$3:$J$45,E$4,Rewards!$K$3:$K$45,E22)+SUMIFS(Rewards!$L$3:$L$45,Rewards!$J$3:$J$45,F$4,Rewards!$K$3:$K$45,F22)+SUMIFS(Rewards!$L$3:$L$45,Rewards!$J$3:$J$45,G$4,Rewards!$K$3:$K$45,G22)+SUMIFS(Rewards!$L$3:$L$45,Rewards!$J$3:$J$45,H$4,Rewards!$K$3:$K$45,H22)+SUMIFS(Rewards!$L$3:$L$45,Rewards!$J$3:$J$45,I$4,Rewards!$K$3:$K$45,I22)+SUMIFS(Rewards!$L$3:$L$45,Rewards!$J$3:$J$45,J$4,Rewards!$K$3:$K$45,J22)+SUMIFS(Rewards!$L$3:$L$45,Rewards!$J$3:$J$45,K$4,Rewards!$K$3:$K$45,K22)+SUMIFS(Rewards!$L$3:$L$45,Rewards!$J$3:$J$45,L$4,Rewards!$K$3:$K$45,L22)+SUMIFS(Rewards!$L$3:$L$45,Rewards!$J$3:$J$45,M$4,Rewards!$K$3:$K$45,M22)+SUMIFS(Rewards!$L$3:$L$45,Rewards!$J$3:$J$45,N$4,Rewards!$K$3:$K$45,N22)</f>
        <v>70</v>
      </c>
      <c r="P22" s="82">
        <f t="shared" si="0"/>
        <v>7500</v>
      </c>
      <c r="T22" s="73" t="s">
        <v>69</v>
      </c>
      <c r="U22" s="68">
        <f t="shared" si="2"/>
        <v>4</v>
      </c>
      <c r="V22" s="68">
        <f t="shared" si="2"/>
        <v>5</v>
      </c>
      <c r="W22" s="68">
        <f t="shared" si="2"/>
        <v>1</v>
      </c>
      <c r="X22" s="68">
        <f t="shared" si="2"/>
        <v>0</v>
      </c>
      <c r="Y22" s="68">
        <f t="shared" si="2"/>
        <v>0</v>
      </c>
      <c r="Z22" s="68">
        <f t="shared" si="2"/>
        <v>0</v>
      </c>
      <c r="AA22" s="69">
        <f t="shared" si="2"/>
        <v>3</v>
      </c>
    </row>
    <row r="23" spans="1:27" ht="17.55" customHeight="1">
      <c r="A23" s="50" t="s">
        <v>196</v>
      </c>
      <c r="B23" s="4" t="s">
        <v>14</v>
      </c>
      <c r="C23" s="4" t="s">
        <v>14</v>
      </c>
      <c r="D23" s="4" t="s">
        <v>15</v>
      </c>
      <c r="E23" s="4" t="s">
        <v>14</v>
      </c>
      <c r="F23" s="4" t="s">
        <v>17</v>
      </c>
      <c r="G23" s="4" t="s">
        <v>15</v>
      </c>
      <c r="H23" s="4" t="s">
        <v>15</v>
      </c>
      <c r="I23" s="4" t="s">
        <v>15</v>
      </c>
      <c r="J23" s="4" t="s">
        <v>15</v>
      </c>
      <c r="K23" s="4" t="s">
        <v>17</v>
      </c>
      <c r="L23" s="4" t="s">
        <v>17</v>
      </c>
      <c r="M23" s="4" t="s">
        <v>15</v>
      </c>
      <c r="N23" s="57" t="s">
        <v>17</v>
      </c>
      <c r="O23" s="53">
        <f>SUMIFS(Rewards!$L$3:$L$45,Rewards!$J$3:$J$45,B$4,Rewards!$K$3:$K$45,B23)+SUMIFS(Rewards!$L$3:$L$45,Rewards!$J$3:$J$45,C$4,Rewards!$K$3:$K$45,C23)+SUMIFS(Rewards!$L$3:$L$45,Rewards!$J$3:$J$45,D$4,Rewards!$K$3:$K$45,D23)+SUMIFS(Rewards!$L$3:$L$45,Rewards!$J$3:$J$45,E$4,Rewards!$K$3:$K$45,E23)+SUMIFS(Rewards!$L$3:$L$45,Rewards!$J$3:$J$45,F$4,Rewards!$K$3:$K$45,F23)+SUMIFS(Rewards!$L$3:$L$45,Rewards!$J$3:$J$45,G$4,Rewards!$K$3:$K$45,G23)+SUMIFS(Rewards!$L$3:$L$45,Rewards!$J$3:$J$45,H$4,Rewards!$K$3:$K$45,H23)+SUMIFS(Rewards!$L$3:$L$45,Rewards!$J$3:$J$45,I$4,Rewards!$K$3:$K$45,I23)+SUMIFS(Rewards!$L$3:$L$45,Rewards!$J$3:$J$45,J$4,Rewards!$K$3:$K$45,J23)+SUMIFS(Rewards!$L$3:$L$45,Rewards!$J$3:$J$45,K$4,Rewards!$K$3:$K$45,K23)+SUMIFS(Rewards!$L$3:$L$45,Rewards!$J$3:$J$45,L$4,Rewards!$K$3:$K$45,L23)+SUMIFS(Rewards!$L$3:$L$45,Rewards!$J$3:$J$45,M$4,Rewards!$K$3:$K$45,M23)+SUMIFS(Rewards!$L$3:$L$45,Rewards!$J$3:$J$45,N$4,Rewards!$K$3:$K$45,N23)</f>
        <v>65</v>
      </c>
      <c r="P23" s="82">
        <f t="shared" si="0"/>
        <v>6500</v>
      </c>
      <c r="T23" s="73" t="s">
        <v>70</v>
      </c>
      <c r="U23" s="68">
        <f t="shared" si="2"/>
        <v>3</v>
      </c>
      <c r="V23" s="68">
        <f t="shared" si="2"/>
        <v>6</v>
      </c>
      <c r="W23" s="68">
        <f t="shared" si="2"/>
        <v>4</v>
      </c>
      <c r="X23" s="68">
        <f t="shared" si="2"/>
        <v>0</v>
      </c>
      <c r="Y23" s="68">
        <f t="shared" si="2"/>
        <v>0</v>
      </c>
      <c r="Z23" s="68">
        <f t="shared" si="2"/>
        <v>0</v>
      </c>
      <c r="AA23" s="69">
        <f t="shared" si="2"/>
        <v>0</v>
      </c>
    </row>
    <row r="24" spans="1:27" ht="17.55" customHeight="1">
      <c r="A24" s="50" t="s">
        <v>71</v>
      </c>
      <c r="B24" s="4"/>
      <c r="C24" s="4"/>
      <c r="D24" s="4"/>
      <c r="E24" s="4"/>
      <c r="F24" s="4"/>
      <c r="G24" s="4"/>
      <c r="H24" s="4"/>
      <c r="I24" s="4"/>
      <c r="J24" s="4"/>
      <c r="K24" s="4"/>
      <c r="L24" s="4"/>
      <c r="M24" s="4"/>
      <c r="N24" s="57"/>
      <c r="O24" s="53">
        <f>SUMIFS(Rewards!$L$3:$L$45,Rewards!$J$3:$J$45,B$4,Rewards!$K$3:$K$45,B24)+SUMIFS(Rewards!$L$3:$L$45,Rewards!$J$3:$J$45,C$4,Rewards!$K$3:$K$45,C24)+SUMIFS(Rewards!$L$3:$L$45,Rewards!$J$3:$J$45,D$4,Rewards!$K$3:$K$45,D24)+SUMIFS(Rewards!$L$3:$L$45,Rewards!$J$3:$J$45,E$4,Rewards!$K$3:$K$45,E24)+SUMIFS(Rewards!$L$3:$L$45,Rewards!$J$3:$J$45,F$4,Rewards!$K$3:$K$45,F24)+SUMIFS(Rewards!$L$3:$L$45,Rewards!$J$3:$J$45,G$4,Rewards!$K$3:$K$45,G24)+SUMIFS(Rewards!$L$3:$L$45,Rewards!$J$3:$J$45,H$4,Rewards!$K$3:$K$45,H24)+SUMIFS(Rewards!$L$3:$L$45,Rewards!$J$3:$J$45,I$4,Rewards!$K$3:$K$45,I24)+SUMIFS(Rewards!$L$3:$L$45,Rewards!$J$3:$J$45,J$4,Rewards!$K$3:$K$45,J24)+SUMIFS(Rewards!$L$3:$L$45,Rewards!$J$3:$J$45,K$4,Rewards!$K$3:$K$45,K24)+SUMIFS(Rewards!$L$3:$L$45,Rewards!$J$3:$J$45,L$4,Rewards!$K$3:$K$45,L24)+SUMIFS(Rewards!$L$3:$L$45,Rewards!$J$3:$J$45,M$4,Rewards!$K$3:$K$45,M24)+SUMIFS(Rewards!$L$3:$L$45,Rewards!$J$3:$J$45,N$4,Rewards!$K$3:$K$45,N24)</f>
        <v>0</v>
      </c>
      <c r="P24" s="82">
        <f t="shared" si="0"/>
        <v>0</v>
      </c>
      <c r="T24" s="73" t="s">
        <v>71</v>
      </c>
      <c r="U24" s="68">
        <f t="shared" si="2"/>
        <v>0</v>
      </c>
      <c r="V24" s="68">
        <f t="shared" si="2"/>
        <v>0</v>
      </c>
      <c r="W24" s="68">
        <f t="shared" si="2"/>
        <v>0</v>
      </c>
      <c r="X24" s="68">
        <f t="shared" si="2"/>
        <v>0</v>
      </c>
      <c r="Y24" s="68">
        <f t="shared" si="2"/>
        <v>0</v>
      </c>
      <c r="Z24" s="68">
        <f t="shared" si="2"/>
        <v>0</v>
      </c>
      <c r="AA24" s="69">
        <f t="shared" si="2"/>
        <v>0</v>
      </c>
    </row>
    <row r="25" spans="1:27" ht="17.55" customHeight="1">
      <c r="A25" s="50" t="s">
        <v>72</v>
      </c>
      <c r="B25" s="4"/>
      <c r="C25" s="4"/>
      <c r="D25" s="4"/>
      <c r="E25" s="4"/>
      <c r="F25" s="4"/>
      <c r="G25" s="4"/>
      <c r="H25" s="4"/>
      <c r="I25" s="4"/>
      <c r="J25" s="4"/>
      <c r="K25" s="4"/>
      <c r="L25" s="4"/>
      <c r="M25" s="4"/>
      <c r="N25" s="57"/>
      <c r="O25" s="53">
        <f>SUMIFS(Rewards!$L$3:$L$45,Rewards!$J$3:$J$45,B$4,Rewards!$K$3:$K$45,B25)+SUMIFS(Rewards!$L$3:$L$45,Rewards!$J$3:$J$45,C$4,Rewards!$K$3:$K$45,C25)+SUMIFS(Rewards!$L$3:$L$45,Rewards!$J$3:$J$45,D$4,Rewards!$K$3:$K$45,D25)+SUMIFS(Rewards!$L$3:$L$45,Rewards!$J$3:$J$45,E$4,Rewards!$K$3:$K$45,E25)+SUMIFS(Rewards!$L$3:$L$45,Rewards!$J$3:$J$45,F$4,Rewards!$K$3:$K$45,F25)+SUMIFS(Rewards!$L$3:$L$45,Rewards!$J$3:$J$45,G$4,Rewards!$K$3:$K$45,G25)+SUMIFS(Rewards!$L$3:$L$45,Rewards!$J$3:$J$45,H$4,Rewards!$K$3:$K$45,H25)+SUMIFS(Rewards!$L$3:$L$45,Rewards!$J$3:$J$45,I$4,Rewards!$K$3:$K$45,I25)+SUMIFS(Rewards!$L$3:$L$45,Rewards!$J$3:$J$45,J$4,Rewards!$K$3:$K$45,J25)+SUMIFS(Rewards!$L$3:$L$45,Rewards!$J$3:$J$45,K$4,Rewards!$K$3:$K$45,K25)+SUMIFS(Rewards!$L$3:$L$45,Rewards!$J$3:$J$45,L$4,Rewards!$K$3:$K$45,L25)+SUMIFS(Rewards!$L$3:$L$45,Rewards!$J$3:$J$45,M$4,Rewards!$K$3:$K$45,M25)+SUMIFS(Rewards!$L$3:$L$45,Rewards!$J$3:$J$45,N$4,Rewards!$K$3:$K$45,N25)</f>
        <v>0</v>
      </c>
      <c r="P25" s="82">
        <f t="shared" si="0"/>
        <v>0</v>
      </c>
      <c r="T25" s="73" t="s">
        <v>72</v>
      </c>
      <c r="U25" s="68">
        <f t="shared" ref="U25:AA34" si="3">COUNTIF($B25:$N25,U$4)</f>
        <v>0</v>
      </c>
      <c r="V25" s="68">
        <f t="shared" si="3"/>
        <v>0</v>
      </c>
      <c r="W25" s="68">
        <f t="shared" si="3"/>
        <v>0</v>
      </c>
      <c r="X25" s="68">
        <f t="shared" si="3"/>
        <v>0</v>
      </c>
      <c r="Y25" s="68">
        <f t="shared" si="3"/>
        <v>0</v>
      </c>
      <c r="Z25" s="68">
        <f t="shared" si="3"/>
        <v>0</v>
      </c>
      <c r="AA25" s="69">
        <f t="shared" si="3"/>
        <v>0</v>
      </c>
    </row>
    <row r="26" spans="1:27" ht="17.55" customHeight="1">
      <c r="A26" s="50" t="s">
        <v>73</v>
      </c>
      <c r="B26" s="4"/>
      <c r="C26" s="4"/>
      <c r="D26" s="4"/>
      <c r="E26" s="4"/>
      <c r="F26" s="4"/>
      <c r="G26" s="4"/>
      <c r="H26" s="4"/>
      <c r="I26" s="4"/>
      <c r="J26" s="4"/>
      <c r="K26" s="4"/>
      <c r="L26" s="4"/>
      <c r="M26" s="4"/>
      <c r="N26" s="57"/>
      <c r="O26" s="53">
        <f>SUMIFS(Rewards!$L$3:$L$45,Rewards!$J$3:$J$45,B$4,Rewards!$K$3:$K$45,B26)+SUMIFS(Rewards!$L$3:$L$45,Rewards!$J$3:$J$45,C$4,Rewards!$K$3:$K$45,C26)+SUMIFS(Rewards!$L$3:$L$45,Rewards!$J$3:$J$45,D$4,Rewards!$K$3:$K$45,D26)+SUMIFS(Rewards!$L$3:$L$45,Rewards!$J$3:$J$45,E$4,Rewards!$K$3:$K$45,E26)+SUMIFS(Rewards!$L$3:$L$45,Rewards!$J$3:$J$45,F$4,Rewards!$K$3:$K$45,F26)+SUMIFS(Rewards!$L$3:$L$45,Rewards!$J$3:$J$45,G$4,Rewards!$K$3:$K$45,G26)+SUMIFS(Rewards!$L$3:$L$45,Rewards!$J$3:$J$45,H$4,Rewards!$K$3:$K$45,H26)+SUMIFS(Rewards!$L$3:$L$45,Rewards!$J$3:$J$45,I$4,Rewards!$K$3:$K$45,I26)+SUMIFS(Rewards!$L$3:$L$45,Rewards!$J$3:$J$45,J$4,Rewards!$K$3:$K$45,J26)+SUMIFS(Rewards!$L$3:$L$45,Rewards!$J$3:$J$45,K$4,Rewards!$K$3:$K$45,K26)+SUMIFS(Rewards!$L$3:$L$45,Rewards!$J$3:$J$45,L$4,Rewards!$K$3:$K$45,L26)+SUMIFS(Rewards!$L$3:$L$45,Rewards!$J$3:$J$45,M$4,Rewards!$K$3:$K$45,M26)+SUMIFS(Rewards!$L$3:$L$45,Rewards!$J$3:$J$45,N$4,Rewards!$K$3:$K$45,N26)</f>
        <v>0</v>
      </c>
      <c r="P26" s="82">
        <f t="shared" si="0"/>
        <v>0</v>
      </c>
      <c r="T26" s="73" t="s">
        <v>73</v>
      </c>
      <c r="U26" s="68">
        <f t="shared" si="3"/>
        <v>0</v>
      </c>
      <c r="V26" s="68">
        <f t="shared" si="3"/>
        <v>0</v>
      </c>
      <c r="W26" s="68">
        <f t="shared" si="3"/>
        <v>0</v>
      </c>
      <c r="X26" s="68">
        <f t="shared" si="3"/>
        <v>0</v>
      </c>
      <c r="Y26" s="68">
        <f t="shared" si="3"/>
        <v>0</v>
      </c>
      <c r="Z26" s="68">
        <f t="shared" si="3"/>
        <v>0</v>
      </c>
      <c r="AA26" s="69">
        <f t="shared" si="3"/>
        <v>0</v>
      </c>
    </row>
    <row r="27" spans="1:27" ht="17.55" customHeight="1">
      <c r="A27" s="50" t="s">
        <v>74</v>
      </c>
      <c r="B27" s="4"/>
      <c r="C27" s="4"/>
      <c r="D27" s="4"/>
      <c r="E27" s="4"/>
      <c r="F27" s="4"/>
      <c r="G27" s="4"/>
      <c r="H27" s="4"/>
      <c r="I27" s="4"/>
      <c r="J27" s="4"/>
      <c r="K27" s="4"/>
      <c r="L27" s="4"/>
      <c r="M27" s="4"/>
      <c r="N27" s="57"/>
      <c r="O27" s="53">
        <f>SUMIFS(Rewards!$L$3:$L$45,Rewards!$J$3:$J$45,B$4,Rewards!$K$3:$K$45,B27)+SUMIFS(Rewards!$L$3:$L$45,Rewards!$J$3:$J$45,C$4,Rewards!$K$3:$K$45,C27)+SUMIFS(Rewards!$L$3:$L$45,Rewards!$J$3:$J$45,D$4,Rewards!$K$3:$K$45,D27)+SUMIFS(Rewards!$L$3:$L$45,Rewards!$J$3:$J$45,E$4,Rewards!$K$3:$K$45,E27)+SUMIFS(Rewards!$L$3:$L$45,Rewards!$J$3:$J$45,F$4,Rewards!$K$3:$K$45,F27)+SUMIFS(Rewards!$L$3:$L$45,Rewards!$J$3:$J$45,G$4,Rewards!$K$3:$K$45,G27)+SUMIFS(Rewards!$L$3:$L$45,Rewards!$J$3:$J$45,H$4,Rewards!$K$3:$K$45,H27)+SUMIFS(Rewards!$L$3:$L$45,Rewards!$J$3:$J$45,I$4,Rewards!$K$3:$K$45,I27)+SUMIFS(Rewards!$L$3:$L$45,Rewards!$J$3:$J$45,J$4,Rewards!$K$3:$K$45,J27)+SUMIFS(Rewards!$L$3:$L$45,Rewards!$J$3:$J$45,K$4,Rewards!$K$3:$K$45,K27)+SUMIFS(Rewards!$L$3:$L$45,Rewards!$J$3:$J$45,L$4,Rewards!$K$3:$K$45,L27)+SUMIFS(Rewards!$L$3:$L$45,Rewards!$J$3:$J$45,M$4,Rewards!$K$3:$K$45,M27)+SUMIFS(Rewards!$L$3:$L$45,Rewards!$J$3:$J$45,N$4,Rewards!$K$3:$K$45,N27)</f>
        <v>0</v>
      </c>
      <c r="P27" s="82">
        <f t="shared" si="0"/>
        <v>0</v>
      </c>
      <c r="T27" s="73" t="s">
        <v>74</v>
      </c>
      <c r="U27" s="68">
        <f t="shared" si="3"/>
        <v>0</v>
      </c>
      <c r="V27" s="68">
        <f t="shared" si="3"/>
        <v>0</v>
      </c>
      <c r="W27" s="68">
        <f t="shared" si="3"/>
        <v>0</v>
      </c>
      <c r="X27" s="68">
        <f t="shared" si="3"/>
        <v>0</v>
      </c>
      <c r="Y27" s="68">
        <f t="shared" si="3"/>
        <v>0</v>
      </c>
      <c r="Z27" s="68">
        <f t="shared" si="3"/>
        <v>0</v>
      </c>
      <c r="AA27" s="69">
        <f t="shared" si="3"/>
        <v>0</v>
      </c>
    </row>
    <row r="28" spans="1:27" ht="17.55" customHeight="1">
      <c r="A28" s="50" t="s">
        <v>75</v>
      </c>
      <c r="B28" s="4"/>
      <c r="C28" s="4"/>
      <c r="D28" s="4"/>
      <c r="E28" s="4"/>
      <c r="F28" s="4"/>
      <c r="G28" s="4"/>
      <c r="H28" s="4"/>
      <c r="I28" s="4"/>
      <c r="J28" s="4"/>
      <c r="K28" s="4"/>
      <c r="L28" s="4"/>
      <c r="M28" s="4"/>
      <c r="N28" s="57"/>
      <c r="O28" s="53">
        <f>SUMIFS(Rewards!$L$3:$L$45,Rewards!$J$3:$J$45,B$4,Rewards!$K$3:$K$45,B28)+SUMIFS(Rewards!$L$3:$L$45,Rewards!$J$3:$J$45,C$4,Rewards!$K$3:$K$45,C28)+SUMIFS(Rewards!$L$3:$L$45,Rewards!$J$3:$J$45,D$4,Rewards!$K$3:$K$45,D28)+SUMIFS(Rewards!$L$3:$L$45,Rewards!$J$3:$J$45,E$4,Rewards!$K$3:$K$45,E28)+SUMIFS(Rewards!$L$3:$L$45,Rewards!$J$3:$J$45,F$4,Rewards!$K$3:$K$45,F28)+SUMIFS(Rewards!$L$3:$L$45,Rewards!$J$3:$J$45,G$4,Rewards!$K$3:$K$45,G28)+SUMIFS(Rewards!$L$3:$L$45,Rewards!$J$3:$J$45,H$4,Rewards!$K$3:$K$45,H28)+SUMIFS(Rewards!$L$3:$L$45,Rewards!$J$3:$J$45,I$4,Rewards!$K$3:$K$45,I28)+SUMIFS(Rewards!$L$3:$L$45,Rewards!$J$3:$J$45,J$4,Rewards!$K$3:$K$45,J28)+SUMIFS(Rewards!$L$3:$L$45,Rewards!$J$3:$J$45,K$4,Rewards!$K$3:$K$45,K28)+SUMIFS(Rewards!$L$3:$L$45,Rewards!$J$3:$J$45,L$4,Rewards!$K$3:$K$45,L28)+SUMIFS(Rewards!$L$3:$L$45,Rewards!$J$3:$J$45,M$4,Rewards!$K$3:$K$45,M28)+SUMIFS(Rewards!$L$3:$L$45,Rewards!$J$3:$J$45,N$4,Rewards!$K$3:$K$45,N28)</f>
        <v>0</v>
      </c>
      <c r="P28" s="82">
        <f t="shared" si="0"/>
        <v>0</v>
      </c>
      <c r="T28" s="73" t="s">
        <v>75</v>
      </c>
      <c r="U28" s="68">
        <f t="shared" si="3"/>
        <v>0</v>
      </c>
      <c r="V28" s="68">
        <f t="shared" si="3"/>
        <v>0</v>
      </c>
      <c r="W28" s="68">
        <f t="shared" si="3"/>
        <v>0</v>
      </c>
      <c r="X28" s="68">
        <f t="shared" si="3"/>
        <v>0</v>
      </c>
      <c r="Y28" s="68">
        <f t="shared" si="3"/>
        <v>0</v>
      </c>
      <c r="Z28" s="68">
        <f t="shared" si="3"/>
        <v>0</v>
      </c>
      <c r="AA28" s="69">
        <f t="shared" si="3"/>
        <v>0</v>
      </c>
    </row>
    <row r="29" spans="1:27" ht="17.55" customHeight="1">
      <c r="A29" s="50" t="s">
        <v>76</v>
      </c>
      <c r="B29" s="4"/>
      <c r="C29" s="4"/>
      <c r="D29" s="4"/>
      <c r="E29" s="4"/>
      <c r="F29" s="4"/>
      <c r="G29" s="4"/>
      <c r="H29" s="4"/>
      <c r="I29" s="4"/>
      <c r="J29" s="4"/>
      <c r="K29" s="4"/>
      <c r="L29" s="4"/>
      <c r="M29" s="4"/>
      <c r="N29" s="57"/>
      <c r="O29" s="53">
        <f>SUMIFS(Rewards!$L$3:$L$45,Rewards!$J$3:$J$45,B$4,Rewards!$K$3:$K$45,B29)+SUMIFS(Rewards!$L$3:$L$45,Rewards!$J$3:$J$45,C$4,Rewards!$K$3:$K$45,C29)+SUMIFS(Rewards!$L$3:$L$45,Rewards!$J$3:$J$45,D$4,Rewards!$K$3:$K$45,D29)+SUMIFS(Rewards!$L$3:$L$45,Rewards!$J$3:$J$45,E$4,Rewards!$K$3:$K$45,E29)+SUMIFS(Rewards!$L$3:$L$45,Rewards!$J$3:$J$45,F$4,Rewards!$K$3:$K$45,F29)+SUMIFS(Rewards!$L$3:$L$45,Rewards!$J$3:$J$45,G$4,Rewards!$K$3:$K$45,G29)+SUMIFS(Rewards!$L$3:$L$45,Rewards!$J$3:$J$45,H$4,Rewards!$K$3:$K$45,H29)+SUMIFS(Rewards!$L$3:$L$45,Rewards!$J$3:$J$45,I$4,Rewards!$K$3:$K$45,I29)+SUMIFS(Rewards!$L$3:$L$45,Rewards!$J$3:$J$45,J$4,Rewards!$K$3:$K$45,J29)+SUMIFS(Rewards!$L$3:$L$45,Rewards!$J$3:$J$45,K$4,Rewards!$K$3:$K$45,K29)+SUMIFS(Rewards!$L$3:$L$45,Rewards!$J$3:$J$45,L$4,Rewards!$K$3:$K$45,L29)+SUMIFS(Rewards!$L$3:$L$45,Rewards!$J$3:$J$45,M$4,Rewards!$K$3:$K$45,M29)+SUMIFS(Rewards!$L$3:$L$45,Rewards!$J$3:$J$45,N$4,Rewards!$K$3:$K$45,N29)</f>
        <v>0</v>
      </c>
      <c r="P29" s="82">
        <f t="shared" si="0"/>
        <v>0</v>
      </c>
      <c r="T29" s="73" t="s">
        <v>76</v>
      </c>
      <c r="U29" s="68">
        <f t="shared" si="3"/>
        <v>0</v>
      </c>
      <c r="V29" s="68">
        <f t="shared" si="3"/>
        <v>0</v>
      </c>
      <c r="W29" s="68">
        <f t="shared" si="3"/>
        <v>0</v>
      </c>
      <c r="X29" s="68">
        <f t="shared" si="3"/>
        <v>0</v>
      </c>
      <c r="Y29" s="68">
        <f t="shared" si="3"/>
        <v>0</v>
      </c>
      <c r="Z29" s="68">
        <f t="shared" si="3"/>
        <v>0</v>
      </c>
      <c r="AA29" s="69">
        <f t="shared" si="3"/>
        <v>0</v>
      </c>
    </row>
    <row r="30" spans="1:27" ht="17.55" customHeight="1">
      <c r="A30" s="50" t="s">
        <v>77</v>
      </c>
      <c r="B30" s="4"/>
      <c r="C30" s="4"/>
      <c r="D30" s="4"/>
      <c r="E30" s="4"/>
      <c r="F30" s="4"/>
      <c r="G30" s="4"/>
      <c r="H30" s="4"/>
      <c r="I30" s="4"/>
      <c r="J30" s="4"/>
      <c r="K30" s="4"/>
      <c r="L30" s="4"/>
      <c r="M30" s="4"/>
      <c r="N30" s="57"/>
      <c r="O30" s="53">
        <f>SUMIFS(Rewards!$L$3:$L$45,Rewards!$J$3:$J$45,B$4,Rewards!$K$3:$K$45,B30)+SUMIFS(Rewards!$L$3:$L$45,Rewards!$J$3:$J$45,C$4,Rewards!$K$3:$K$45,C30)+SUMIFS(Rewards!$L$3:$L$45,Rewards!$J$3:$J$45,D$4,Rewards!$K$3:$K$45,D30)+SUMIFS(Rewards!$L$3:$L$45,Rewards!$J$3:$J$45,E$4,Rewards!$K$3:$K$45,E30)+SUMIFS(Rewards!$L$3:$L$45,Rewards!$J$3:$J$45,F$4,Rewards!$K$3:$K$45,F30)+SUMIFS(Rewards!$L$3:$L$45,Rewards!$J$3:$J$45,G$4,Rewards!$K$3:$K$45,G30)+SUMIFS(Rewards!$L$3:$L$45,Rewards!$J$3:$J$45,H$4,Rewards!$K$3:$K$45,H30)+SUMIFS(Rewards!$L$3:$L$45,Rewards!$J$3:$J$45,I$4,Rewards!$K$3:$K$45,I30)+SUMIFS(Rewards!$L$3:$L$45,Rewards!$J$3:$J$45,J$4,Rewards!$K$3:$K$45,J30)+SUMIFS(Rewards!$L$3:$L$45,Rewards!$J$3:$J$45,K$4,Rewards!$K$3:$K$45,K30)+SUMIFS(Rewards!$L$3:$L$45,Rewards!$J$3:$J$45,L$4,Rewards!$K$3:$K$45,L30)+SUMIFS(Rewards!$L$3:$L$45,Rewards!$J$3:$J$45,M$4,Rewards!$K$3:$K$45,M30)+SUMIFS(Rewards!$L$3:$L$45,Rewards!$J$3:$J$45,N$4,Rewards!$K$3:$K$45,N30)</f>
        <v>0</v>
      </c>
      <c r="P30" s="82">
        <f t="shared" si="0"/>
        <v>0</v>
      </c>
      <c r="T30" s="73" t="s">
        <v>77</v>
      </c>
      <c r="U30" s="68">
        <f t="shared" si="3"/>
        <v>0</v>
      </c>
      <c r="V30" s="68">
        <f t="shared" si="3"/>
        <v>0</v>
      </c>
      <c r="W30" s="68">
        <f t="shared" si="3"/>
        <v>0</v>
      </c>
      <c r="X30" s="68">
        <f t="shared" si="3"/>
        <v>0</v>
      </c>
      <c r="Y30" s="68">
        <f t="shared" si="3"/>
        <v>0</v>
      </c>
      <c r="Z30" s="68">
        <f t="shared" si="3"/>
        <v>0</v>
      </c>
      <c r="AA30" s="69">
        <f t="shared" si="3"/>
        <v>0</v>
      </c>
    </row>
    <row r="31" spans="1:27" ht="17.55" customHeight="1">
      <c r="A31" s="50" t="s">
        <v>78</v>
      </c>
      <c r="B31" s="4"/>
      <c r="C31" s="4"/>
      <c r="D31" s="4"/>
      <c r="E31" s="4"/>
      <c r="F31" s="4"/>
      <c r="G31" s="4"/>
      <c r="H31" s="4"/>
      <c r="I31" s="4"/>
      <c r="J31" s="4"/>
      <c r="K31" s="4"/>
      <c r="L31" s="4"/>
      <c r="M31" s="4"/>
      <c r="N31" s="57"/>
      <c r="O31" s="53">
        <f>SUMIFS(Rewards!$L$3:$L$45,Rewards!$J$3:$J$45,B$4,Rewards!$K$3:$K$45,B31)+SUMIFS(Rewards!$L$3:$L$45,Rewards!$J$3:$J$45,C$4,Rewards!$K$3:$K$45,C31)+SUMIFS(Rewards!$L$3:$L$45,Rewards!$J$3:$J$45,D$4,Rewards!$K$3:$K$45,D31)+SUMIFS(Rewards!$L$3:$L$45,Rewards!$J$3:$J$45,E$4,Rewards!$K$3:$K$45,E31)+SUMIFS(Rewards!$L$3:$L$45,Rewards!$J$3:$J$45,F$4,Rewards!$K$3:$K$45,F31)+SUMIFS(Rewards!$L$3:$L$45,Rewards!$J$3:$J$45,G$4,Rewards!$K$3:$K$45,G31)+SUMIFS(Rewards!$L$3:$L$45,Rewards!$J$3:$J$45,H$4,Rewards!$K$3:$K$45,H31)+SUMIFS(Rewards!$L$3:$L$45,Rewards!$J$3:$J$45,I$4,Rewards!$K$3:$K$45,I31)+SUMIFS(Rewards!$L$3:$L$45,Rewards!$J$3:$J$45,J$4,Rewards!$K$3:$K$45,J31)+SUMIFS(Rewards!$L$3:$L$45,Rewards!$J$3:$J$45,K$4,Rewards!$K$3:$K$45,K31)+SUMIFS(Rewards!$L$3:$L$45,Rewards!$J$3:$J$45,L$4,Rewards!$K$3:$K$45,L31)+SUMIFS(Rewards!$L$3:$L$45,Rewards!$J$3:$J$45,M$4,Rewards!$K$3:$K$45,M31)+SUMIFS(Rewards!$L$3:$L$45,Rewards!$J$3:$J$45,N$4,Rewards!$K$3:$K$45,N31)</f>
        <v>0</v>
      </c>
      <c r="P31" s="82">
        <f t="shared" si="0"/>
        <v>0</v>
      </c>
      <c r="T31" s="73" t="s">
        <v>78</v>
      </c>
      <c r="U31" s="68">
        <f t="shared" si="3"/>
        <v>0</v>
      </c>
      <c r="V31" s="68">
        <f t="shared" si="3"/>
        <v>0</v>
      </c>
      <c r="W31" s="68">
        <f t="shared" si="3"/>
        <v>0</v>
      </c>
      <c r="X31" s="68">
        <f t="shared" si="3"/>
        <v>0</v>
      </c>
      <c r="Y31" s="68">
        <f t="shared" si="3"/>
        <v>0</v>
      </c>
      <c r="Z31" s="68">
        <f t="shared" si="3"/>
        <v>0</v>
      </c>
      <c r="AA31" s="69">
        <f t="shared" si="3"/>
        <v>0</v>
      </c>
    </row>
    <row r="32" spans="1:27" ht="17.55" customHeight="1">
      <c r="A32" s="50" t="s">
        <v>79</v>
      </c>
      <c r="B32" s="4"/>
      <c r="C32" s="4"/>
      <c r="D32" s="4"/>
      <c r="E32" s="4"/>
      <c r="F32" s="4"/>
      <c r="G32" s="4"/>
      <c r="H32" s="4"/>
      <c r="I32" s="4"/>
      <c r="J32" s="4"/>
      <c r="K32" s="4"/>
      <c r="L32" s="4"/>
      <c r="M32" s="4"/>
      <c r="N32" s="57"/>
      <c r="O32" s="53">
        <f>SUMIFS(Rewards!$L$3:$L$45,Rewards!$J$3:$J$45,B$4,Rewards!$K$3:$K$45,B32)+SUMIFS(Rewards!$L$3:$L$45,Rewards!$J$3:$J$45,C$4,Rewards!$K$3:$K$45,C32)+SUMIFS(Rewards!$L$3:$L$45,Rewards!$J$3:$J$45,D$4,Rewards!$K$3:$K$45,D32)+SUMIFS(Rewards!$L$3:$L$45,Rewards!$J$3:$J$45,E$4,Rewards!$K$3:$K$45,E32)+SUMIFS(Rewards!$L$3:$L$45,Rewards!$J$3:$J$45,F$4,Rewards!$K$3:$K$45,F32)+SUMIFS(Rewards!$L$3:$L$45,Rewards!$J$3:$J$45,G$4,Rewards!$K$3:$K$45,G32)+SUMIFS(Rewards!$L$3:$L$45,Rewards!$J$3:$J$45,H$4,Rewards!$K$3:$K$45,H32)+SUMIFS(Rewards!$L$3:$L$45,Rewards!$J$3:$J$45,I$4,Rewards!$K$3:$K$45,I32)+SUMIFS(Rewards!$L$3:$L$45,Rewards!$J$3:$J$45,J$4,Rewards!$K$3:$K$45,J32)+SUMIFS(Rewards!$L$3:$L$45,Rewards!$J$3:$J$45,K$4,Rewards!$K$3:$K$45,K32)+SUMIFS(Rewards!$L$3:$L$45,Rewards!$J$3:$J$45,L$4,Rewards!$K$3:$K$45,L32)+SUMIFS(Rewards!$L$3:$L$45,Rewards!$J$3:$J$45,M$4,Rewards!$K$3:$K$45,M32)+SUMIFS(Rewards!$L$3:$L$45,Rewards!$J$3:$J$45,N$4,Rewards!$K$3:$K$45,N32)</f>
        <v>0</v>
      </c>
      <c r="P32" s="82">
        <f t="shared" si="0"/>
        <v>0</v>
      </c>
      <c r="T32" s="73" t="s">
        <v>79</v>
      </c>
      <c r="U32" s="68">
        <f t="shared" si="3"/>
        <v>0</v>
      </c>
      <c r="V32" s="68">
        <f t="shared" si="3"/>
        <v>0</v>
      </c>
      <c r="W32" s="68">
        <f t="shared" si="3"/>
        <v>0</v>
      </c>
      <c r="X32" s="68">
        <f t="shared" si="3"/>
        <v>0</v>
      </c>
      <c r="Y32" s="68">
        <f t="shared" si="3"/>
        <v>0</v>
      </c>
      <c r="Z32" s="68">
        <f t="shared" si="3"/>
        <v>0</v>
      </c>
      <c r="AA32" s="69">
        <f t="shared" si="3"/>
        <v>0</v>
      </c>
    </row>
    <row r="33" spans="1:27" ht="17.55" customHeight="1">
      <c r="A33" s="50" t="s">
        <v>80</v>
      </c>
      <c r="B33" s="4"/>
      <c r="C33" s="4"/>
      <c r="D33" s="4"/>
      <c r="E33" s="4"/>
      <c r="F33" s="4"/>
      <c r="G33" s="4"/>
      <c r="H33" s="4"/>
      <c r="I33" s="4"/>
      <c r="J33" s="4"/>
      <c r="K33" s="4"/>
      <c r="L33" s="4"/>
      <c r="M33" s="4"/>
      <c r="N33" s="57"/>
      <c r="O33" s="53">
        <f>SUMIFS(Rewards!$L$3:$L$45,Rewards!$J$3:$J$45,B$4,Rewards!$K$3:$K$45,B33)+SUMIFS(Rewards!$L$3:$L$45,Rewards!$J$3:$J$45,C$4,Rewards!$K$3:$K$45,C33)+SUMIFS(Rewards!$L$3:$L$45,Rewards!$J$3:$J$45,D$4,Rewards!$K$3:$K$45,D33)+SUMIFS(Rewards!$L$3:$L$45,Rewards!$J$3:$J$45,E$4,Rewards!$K$3:$K$45,E33)+SUMIFS(Rewards!$L$3:$L$45,Rewards!$J$3:$J$45,F$4,Rewards!$K$3:$K$45,F33)+SUMIFS(Rewards!$L$3:$L$45,Rewards!$J$3:$J$45,G$4,Rewards!$K$3:$K$45,G33)+SUMIFS(Rewards!$L$3:$L$45,Rewards!$J$3:$J$45,H$4,Rewards!$K$3:$K$45,H33)+SUMIFS(Rewards!$L$3:$L$45,Rewards!$J$3:$J$45,I$4,Rewards!$K$3:$K$45,I33)+SUMIFS(Rewards!$L$3:$L$45,Rewards!$J$3:$J$45,J$4,Rewards!$K$3:$K$45,J33)+SUMIFS(Rewards!$L$3:$L$45,Rewards!$J$3:$J$45,K$4,Rewards!$K$3:$K$45,K33)+SUMIFS(Rewards!$L$3:$L$45,Rewards!$J$3:$J$45,L$4,Rewards!$K$3:$K$45,L33)+SUMIFS(Rewards!$L$3:$L$45,Rewards!$J$3:$J$45,M$4,Rewards!$K$3:$K$45,M33)+SUMIFS(Rewards!$L$3:$L$45,Rewards!$J$3:$J$45,N$4,Rewards!$K$3:$K$45,N33)</f>
        <v>0</v>
      </c>
      <c r="P33" s="82">
        <f t="shared" si="0"/>
        <v>0</v>
      </c>
      <c r="T33" s="73" t="s">
        <v>80</v>
      </c>
      <c r="U33" s="68">
        <f t="shared" si="3"/>
        <v>0</v>
      </c>
      <c r="V33" s="68">
        <f t="shared" si="3"/>
        <v>0</v>
      </c>
      <c r="W33" s="68">
        <f t="shared" si="3"/>
        <v>0</v>
      </c>
      <c r="X33" s="68">
        <f t="shared" si="3"/>
        <v>0</v>
      </c>
      <c r="Y33" s="68">
        <f t="shared" si="3"/>
        <v>0</v>
      </c>
      <c r="Z33" s="68">
        <f t="shared" si="3"/>
        <v>0</v>
      </c>
      <c r="AA33" s="69">
        <f t="shared" si="3"/>
        <v>0</v>
      </c>
    </row>
    <row r="34" spans="1:27" ht="17.55" customHeight="1">
      <c r="A34" s="50" t="s">
        <v>81</v>
      </c>
      <c r="B34" s="4"/>
      <c r="C34" s="4"/>
      <c r="D34" s="4"/>
      <c r="E34" s="4"/>
      <c r="F34" s="4"/>
      <c r="G34" s="4"/>
      <c r="H34" s="4"/>
      <c r="I34" s="4"/>
      <c r="J34" s="4"/>
      <c r="K34" s="4"/>
      <c r="L34" s="4"/>
      <c r="M34" s="4"/>
      <c r="N34" s="57"/>
      <c r="O34" s="53">
        <f>SUMIFS(Rewards!$L$3:$L$45,Rewards!$J$3:$J$45,B$4,Rewards!$K$3:$K$45,B34)+SUMIFS(Rewards!$L$3:$L$45,Rewards!$J$3:$J$45,C$4,Rewards!$K$3:$K$45,C34)+SUMIFS(Rewards!$L$3:$L$45,Rewards!$J$3:$J$45,D$4,Rewards!$K$3:$K$45,D34)+SUMIFS(Rewards!$L$3:$L$45,Rewards!$J$3:$J$45,E$4,Rewards!$K$3:$K$45,E34)+SUMIFS(Rewards!$L$3:$L$45,Rewards!$J$3:$J$45,F$4,Rewards!$K$3:$K$45,F34)+SUMIFS(Rewards!$L$3:$L$45,Rewards!$J$3:$J$45,G$4,Rewards!$K$3:$K$45,G34)+SUMIFS(Rewards!$L$3:$L$45,Rewards!$J$3:$J$45,H$4,Rewards!$K$3:$K$45,H34)+SUMIFS(Rewards!$L$3:$L$45,Rewards!$J$3:$J$45,I$4,Rewards!$K$3:$K$45,I34)+SUMIFS(Rewards!$L$3:$L$45,Rewards!$J$3:$J$45,J$4,Rewards!$K$3:$K$45,J34)+SUMIFS(Rewards!$L$3:$L$45,Rewards!$J$3:$J$45,K$4,Rewards!$K$3:$K$45,K34)+SUMIFS(Rewards!$L$3:$L$45,Rewards!$J$3:$J$45,L$4,Rewards!$K$3:$K$45,L34)+SUMIFS(Rewards!$L$3:$L$45,Rewards!$J$3:$J$45,M$4,Rewards!$K$3:$K$45,M34)+SUMIFS(Rewards!$L$3:$L$45,Rewards!$J$3:$J$45,N$4,Rewards!$K$3:$K$45,N34)</f>
        <v>0</v>
      </c>
      <c r="P34" s="82">
        <f t="shared" si="0"/>
        <v>0</v>
      </c>
      <c r="T34" s="73" t="s">
        <v>81</v>
      </c>
      <c r="U34" s="68">
        <f t="shared" si="3"/>
        <v>0</v>
      </c>
      <c r="V34" s="68">
        <f t="shared" si="3"/>
        <v>0</v>
      </c>
      <c r="W34" s="68">
        <f t="shared" si="3"/>
        <v>0</v>
      </c>
      <c r="X34" s="68">
        <f t="shared" si="3"/>
        <v>0</v>
      </c>
      <c r="Y34" s="68">
        <f t="shared" si="3"/>
        <v>0</v>
      </c>
      <c r="Z34" s="68">
        <f t="shared" si="3"/>
        <v>0</v>
      </c>
      <c r="AA34" s="69">
        <f t="shared" si="3"/>
        <v>0</v>
      </c>
    </row>
    <row r="35" spans="1:27" ht="17.55" customHeight="1">
      <c r="A35" s="50" t="s">
        <v>82</v>
      </c>
      <c r="B35" s="4"/>
      <c r="C35" s="4"/>
      <c r="D35" s="4"/>
      <c r="E35" s="4"/>
      <c r="F35" s="4"/>
      <c r="G35" s="4"/>
      <c r="H35" s="4"/>
      <c r="I35" s="4"/>
      <c r="J35" s="4"/>
      <c r="K35" s="4"/>
      <c r="L35" s="4"/>
      <c r="M35" s="4"/>
      <c r="N35" s="57"/>
      <c r="O35" s="53">
        <f>SUMIFS(Rewards!$L$3:$L$45,Rewards!$J$3:$J$45,B$4,Rewards!$K$3:$K$45,B35)+SUMIFS(Rewards!$L$3:$L$45,Rewards!$J$3:$J$45,C$4,Rewards!$K$3:$K$45,C35)+SUMIFS(Rewards!$L$3:$L$45,Rewards!$J$3:$J$45,D$4,Rewards!$K$3:$K$45,D35)+SUMIFS(Rewards!$L$3:$L$45,Rewards!$J$3:$J$45,E$4,Rewards!$K$3:$K$45,E35)+SUMIFS(Rewards!$L$3:$L$45,Rewards!$J$3:$J$45,F$4,Rewards!$K$3:$K$45,F35)+SUMIFS(Rewards!$L$3:$L$45,Rewards!$J$3:$J$45,G$4,Rewards!$K$3:$K$45,G35)+SUMIFS(Rewards!$L$3:$L$45,Rewards!$J$3:$J$45,H$4,Rewards!$K$3:$K$45,H35)+SUMIFS(Rewards!$L$3:$L$45,Rewards!$J$3:$J$45,I$4,Rewards!$K$3:$K$45,I35)+SUMIFS(Rewards!$L$3:$L$45,Rewards!$J$3:$J$45,J$4,Rewards!$K$3:$K$45,J35)+SUMIFS(Rewards!$L$3:$L$45,Rewards!$J$3:$J$45,K$4,Rewards!$K$3:$K$45,K35)+SUMIFS(Rewards!$L$3:$L$45,Rewards!$J$3:$J$45,L$4,Rewards!$K$3:$K$45,L35)+SUMIFS(Rewards!$L$3:$L$45,Rewards!$J$3:$J$45,M$4,Rewards!$K$3:$K$45,M35)+SUMIFS(Rewards!$L$3:$L$45,Rewards!$J$3:$J$45,N$4,Rewards!$K$3:$K$45,N35)</f>
        <v>0</v>
      </c>
      <c r="P35" s="82">
        <f t="shared" si="0"/>
        <v>0</v>
      </c>
      <c r="T35" s="73" t="s">
        <v>82</v>
      </c>
      <c r="U35" s="68">
        <f t="shared" ref="U35:AA44" si="4">COUNTIF($B35:$N35,U$4)</f>
        <v>0</v>
      </c>
      <c r="V35" s="68">
        <f t="shared" si="4"/>
        <v>0</v>
      </c>
      <c r="W35" s="68">
        <f t="shared" si="4"/>
        <v>0</v>
      </c>
      <c r="X35" s="68">
        <f t="shared" si="4"/>
        <v>0</v>
      </c>
      <c r="Y35" s="68">
        <f t="shared" si="4"/>
        <v>0</v>
      </c>
      <c r="Z35" s="68">
        <f t="shared" si="4"/>
        <v>0</v>
      </c>
      <c r="AA35" s="69">
        <f t="shared" si="4"/>
        <v>0</v>
      </c>
    </row>
    <row r="36" spans="1:27" ht="17.55" customHeight="1">
      <c r="A36" s="50" t="s">
        <v>83</v>
      </c>
      <c r="B36" s="4"/>
      <c r="C36" s="4"/>
      <c r="D36" s="4"/>
      <c r="E36" s="4"/>
      <c r="F36" s="4"/>
      <c r="G36" s="4"/>
      <c r="H36" s="4"/>
      <c r="I36" s="4"/>
      <c r="J36" s="4"/>
      <c r="K36" s="4"/>
      <c r="L36" s="4"/>
      <c r="M36" s="4"/>
      <c r="N36" s="57"/>
      <c r="O36" s="53">
        <f>SUMIFS(Rewards!$L$3:$L$45,Rewards!$J$3:$J$45,B$4,Rewards!$K$3:$K$45,B36)+SUMIFS(Rewards!$L$3:$L$45,Rewards!$J$3:$J$45,C$4,Rewards!$K$3:$K$45,C36)+SUMIFS(Rewards!$L$3:$L$45,Rewards!$J$3:$J$45,D$4,Rewards!$K$3:$K$45,D36)+SUMIFS(Rewards!$L$3:$L$45,Rewards!$J$3:$J$45,E$4,Rewards!$K$3:$K$45,E36)+SUMIFS(Rewards!$L$3:$L$45,Rewards!$J$3:$J$45,F$4,Rewards!$K$3:$K$45,F36)+SUMIFS(Rewards!$L$3:$L$45,Rewards!$J$3:$J$45,G$4,Rewards!$K$3:$K$45,G36)+SUMIFS(Rewards!$L$3:$L$45,Rewards!$J$3:$J$45,H$4,Rewards!$K$3:$K$45,H36)+SUMIFS(Rewards!$L$3:$L$45,Rewards!$J$3:$J$45,I$4,Rewards!$K$3:$K$45,I36)+SUMIFS(Rewards!$L$3:$L$45,Rewards!$J$3:$J$45,J$4,Rewards!$K$3:$K$45,J36)+SUMIFS(Rewards!$L$3:$L$45,Rewards!$J$3:$J$45,K$4,Rewards!$K$3:$K$45,K36)+SUMIFS(Rewards!$L$3:$L$45,Rewards!$J$3:$J$45,L$4,Rewards!$K$3:$K$45,L36)+SUMIFS(Rewards!$L$3:$L$45,Rewards!$J$3:$J$45,M$4,Rewards!$K$3:$K$45,M36)+SUMIFS(Rewards!$L$3:$L$45,Rewards!$J$3:$J$45,N$4,Rewards!$K$3:$K$45,N36)</f>
        <v>0</v>
      </c>
      <c r="P36" s="82">
        <f t="shared" si="0"/>
        <v>0</v>
      </c>
      <c r="T36" s="73" t="s">
        <v>83</v>
      </c>
      <c r="U36" s="68">
        <f t="shared" si="4"/>
        <v>0</v>
      </c>
      <c r="V36" s="68">
        <f t="shared" si="4"/>
        <v>0</v>
      </c>
      <c r="W36" s="68">
        <f t="shared" si="4"/>
        <v>0</v>
      </c>
      <c r="X36" s="68">
        <f t="shared" si="4"/>
        <v>0</v>
      </c>
      <c r="Y36" s="68">
        <f t="shared" si="4"/>
        <v>0</v>
      </c>
      <c r="Z36" s="68">
        <f t="shared" si="4"/>
        <v>0</v>
      </c>
      <c r="AA36" s="69">
        <f t="shared" si="4"/>
        <v>0</v>
      </c>
    </row>
    <row r="37" spans="1:27" ht="17.55" customHeight="1">
      <c r="A37" s="50" t="s">
        <v>84</v>
      </c>
      <c r="B37" s="4"/>
      <c r="C37" s="4"/>
      <c r="D37" s="4"/>
      <c r="E37" s="4"/>
      <c r="F37" s="4"/>
      <c r="G37" s="4"/>
      <c r="H37" s="4"/>
      <c r="I37" s="4"/>
      <c r="J37" s="4"/>
      <c r="K37" s="4"/>
      <c r="L37" s="4"/>
      <c r="M37" s="4"/>
      <c r="N37" s="57"/>
      <c r="O37" s="53">
        <f>SUMIFS(Rewards!$L$3:$L$45,Rewards!$J$3:$J$45,B$4,Rewards!$K$3:$K$45,B37)+SUMIFS(Rewards!$L$3:$L$45,Rewards!$J$3:$J$45,C$4,Rewards!$K$3:$K$45,C37)+SUMIFS(Rewards!$L$3:$L$45,Rewards!$J$3:$J$45,D$4,Rewards!$K$3:$K$45,D37)+SUMIFS(Rewards!$L$3:$L$45,Rewards!$J$3:$J$45,E$4,Rewards!$K$3:$K$45,E37)+SUMIFS(Rewards!$L$3:$L$45,Rewards!$J$3:$J$45,F$4,Rewards!$K$3:$K$45,F37)+SUMIFS(Rewards!$L$3:$L$45,Rewards!$J$3:$J$45,G$4,Rewards!$K$3:$K$45,G37)+SUMIFS(Rewards!$L$3:$L$45,Rewards!$J$3:$J$45,H$4,Rewards!$K$3:$K$45,H37)+SUMIFS(Rewards!$L$3:$L$45,Rewards!$J$3:$J$45,I$4,Rewards!$K$3:$K$45,I37)+SUMIFS(Rewards!$L$3:$L$45,Rewards!$J$3:$J$45,J$4,Rewards!$K$3:$K$45,J37)+SUMIFS(Rewards!$L$3:$L$45,Rewards!$J$3:$J$45,K$4,Rewards!$K$3:$K$45,K37)+SUMIFS(Rewards!$L$3:$L$45,Rewards!$J$3:$J$45,L$4,Rewards!$K$3:$K$45,L37)+SUMIFS(Rewards!$L$3:$L$45,Rewards!$J$3:$J$45,M$4,Rewards!$K$3:$K$45,M37)+SUMIFS(Rewards!$L$3:$L$45,Rewards!$J$3:$J$45,N$4,Rewards!$K$3:$K$45,N37)</f>
        <v>0</v>
      </c>
      <c r="P37" s="82">
        <f t="shared" ref="P37:P68" si="5">IF($O37&lt;=20,0,IF($O37&lt;=45,2750,IF($O37&lt;=50,3750,IF($O37&lt;=65,6500,IF($O37&lt;=70,7500,"")))))</f>
        <v>0</v>
      </c>
      <c r="T37" s="73" t="s">
        <v>84</v>
      </c>
      <c r="U37" s="68">
        <f t="shared" si="4"/>
        <v>0</v>
      </c>
      <c r="V37" s="68">
        <f t="shared" si="4"/>
        <v>0</v>
      </c>
      <c r="W37" s="68">
        <f t="shared" si="4"/>
        <v>0</v>
      </c>
      <c r="X37" s="68">
        <f t="shared" si="4"/>
        <v>0</v>
      </c>
      <c r="Y37" s="68">
        <f t="shared" si="4"/>
        <v>0</v>
      </c>
      <c r="Z37" s="68">
        <f t="shared" si="4"/>
        <v>0</v>
      </c>
      <c r="AA37" s="69">
        <f t="shared" si="4"/>
        <v>0</v>
      </c>
    </row>
    <row r="38" spans="1:27" ht="17.55" customHeight="1">
      <c r="A38" s="50" t="s">
        <v>85</v>
      </c>
      <c r="B38" s="4"/>
      <c r="C38" s="4"/>
      <c r="D38" s="4"/>
      <c r="E38" s="4"/>
      <c r="F38" s="4"/>
      <c r="G38" s="4"/>
      <c r="H38" s="4"/>
      <c r="I38" s="4"/>
      <c r="J38" s="4"/>
      <c r="K38" s="4"/>
      <c r="L38" s="4"/>
      <c r="M38" s="4"/>
      <c r="N38" s="57"/>
      <c r="O38" s="53">
        <f>SUMIFS(Rewards!$L$3:$L$45,Rewards!$J$3:$J$45,B$4,Rewards!$K$3:$K$45,B38)+SUMIFS(Rewards!$L$3:$L$45,Rewards!$J$3:$J$45,C$4,Rewards!$K$3:$K$45,C38)+SUMIFS(Rewards!$L$3:$L$45,Rewards!$J$3:$J$45,D$4,Rewards!$K$3:$K$45,D38)+SUMIFS(Rewards!$L$3:$L$45,Rewards!$J$3:$J$45,E$4,Rewards!$K$3:$K$45,E38)+SUMIFS(Rewards!$L$3:$L$45,Rewards!$J$3:$J$45,F$4,Rewards!$K$3:$K$45,F38)+SUMIFS(Rewards!$L$3:$L$45,Rewards!$J$3:$J$45,G$4,Rewards!$K$3:$K$45,G38)+SUMIFS(Rewards!$L$3:$L$45,Rewards!$J$3:$J$45,H$4,Rewards!$K$3:$K$45,H38)+SUMIFS(Rewards!$L$3:$L$45,Rewards!$J$3:$J$45,I$4,Rewards!$K$3:$K$45,I38)+SUMIFS(Rewards!$L$3:$L$45,Rewards!$J$3:$J$45,J$4,Rewards!$K$3:$K$45,J38)+SUMIFS(Rewards!$L$3:$L$45,Rewards!$J$3:$J$45,K$4,Rewards!$K$3:$K$45,K38)+SUMIFS(Rewards!$L$3:$L$45,Rewards!$J$3:$J$45,L$4,Rewards!$K$3:$K$45,L38)+SUMIFS(Rewards!$L$3:$L$45,Rewards!$J$3:$J$45,M$4,Rewards!$K$3:$K$45,M38)+SUMIFS(Rewards!$L$3:$L$45,Rewards!$J$3:$J$45,N$4,Rewards!$K$3:$K$45,N38)</f>
        <v>0</v>
      </c>
      <c r="P38" s="82">
        <f t="shared" si="5"/>
        <v>0</v>
      </c>
      <c r="T38" s="73" t="s">
        <v>85</v>
      </c>
      <c r="U38" s="68">
        <f t="shared" si="4"/>
        <v>0</v>
      </c>
      <c r="V38" s="68">
        <f t="shared" si="4"/>
        <v>0</v>
      </c>
      <c r="W38" s="68">
        <f t="shared" si="4"/>
        <v>0</v>
      </c>
      <c r="X38" s="68">
        <f t="shared" si="4"/>
        <v>0</v>
      </c>
      <c r="Y38" s="68">
        <f t="shared" si="4"/>
        <v>0</v>
      </c>
      <c r="Z38" s="68">
        <f t="shared" si="4"/>
        <v>0</v>
      </c>
      <c r="AA38" s="69">
        <f t="shared" si="4"/>
        <v>0</v>
      </c>
    </row>
    <row r="39" spans="1:27" ht="17.55" customHeight="1">
      <c r="A39" s="50" t="s">
        <v>86</v>
      </c>
      <c r="B39" s="4"/>
      <c r="C39" s="4"/>
      <c r="D39" s="4"/>
      <c r="E39" s="4"/>
      <c r="F39" s="4"/>
      <c r="G39" s="4"/>
      <c r="H39" s="4"/>
      <c r="I39" s="4"/>
      <c r="J39" s="4"/>
      <c r="K39" s="4"/>
      <c r="L39" s="4"/>
      <c r="M39" s="4"/>
      <c r="N39" s="57"/>
      <c r="O39" s="53">
        <f>SUMIFS(Rewards!$L$3:$L$45,Rewards!$J$3:$J$45,B$4,Rewards!$K$3:$K$45,B39)+SUMIFS(Rewards!$L$3:$L$45,Rewards!$J$3:$J$45,C$4,Rewards!$K$3:$K$45,C39)+SUMIFS(Rewards!$L$3:$L$45,Rewards!$J$3:$J$45,D$4,Rewards!$K$3:$K$45,D39)+SUMIFS(Rewards!$L$3:$L$45,Rewards!$J$3:$J$45,E$4,Rewards!$K$3:$K$45,E39)+SUMIFS(Rewards!$L$3:$L$45,Rewards!$J$3:$J$45,F$4,Rewards!$K$3:$K$45,F39)+SUMIFS(Rewards!$L$3:$L$45,Rewards!$J$3:$J$45,G$4,Rewards!$K$3:$K$45,G39)+SUMIFS(Rewards!$L$3:$L$45,Rewards!$J$3:$J$45,H$4,Rewards!$K$3:$K$45,H39)+SUMIFS(Rewards!$L$3:$L$45,Rewards!$J$3:$J$45,I$4,Rewards!$K$3:$K$45,I39)+SUMIFS(Rewards!$L$3:$L$45,Rewards!$J$3:$J$45,J$4,Rewards!$K$3:$K$45,J39)+SUMIFS(Rewards!$L$3:$L$45,Rewards!$J$3:$J$45,K$4,Rewards!$K$3:$K$45,K39)+SUMIFS(Rewards!$L$3:$L$45,Rewards!$J$3:$J$45,L$4,Rewards!$K$3:$K$45,L39)+SUMIFS(Rewards!$L$3:$L$45,Rewards!$J$3:$J$45,M$4,Rewards!$K$3:$K$45,M39)+SUMIFS(Rewards!$L$3:$L$45,Rewards!$J$3:$J$45,N$4,Rewards!$K$3:$K$45,N39)</f>
        <v>0</v>
      </c>
      <c r="P39" s="82">
        <f t="shared" si="5"/>
        <v>0</v>
      </c>
      <c r="T39" s="73" t="s">
        <v>86</v>
      </c>
      <c r="U39" s="68">
        <f t="shared" si="4"/>
        <v>0</v>
      </c>
      <c r="V39" s="68">
        <f t="shared" si="4"/>
        <v>0</v>
      </c>
      <c r="W39" s="68">
        <f t="shared" si="4"/>
        <v>0</v>
      </c>
      <c r="X39" s="68">
        <f t="shared" si="4"/>
        <v>0</v>
      </c>
      <c r="Y39" s="68">
        <f t="shared" si="4"/>
        <v>0</v>
      </c>
      <c r="Z39" s="68">
        <f t="shared" si="4"/>
        <v>0</v>
      </c>
      <c r="AA39" s="69">
        <f t="shared" si="4"/>
        <v>0</v>
      </c>
    </row>
    <row r="40" spans="1:27" ht="17.55" customHeight="1">
      <c r="A40" s="50" t="s">
        <v>87</v>
      </c>
      <c r="B40" s="4"/>
      <c r="C40" s="4"/>
      <c r="D40" s="4"/>
      <c r="E40" s="4"/>
      <c r="F40" s="4"/>
      <c r="G40" s="4"/>
      <c r="H40" s="4"/>
      <c r="I40" s="4"/>
      <c r="J40" s="4"/>
      <c r="K40" s="4"/>
      <c r="L40" s="4"/>
      <c r="M40" s="4"/>
      <c r="N40" s="57"/>
      <c r="O40" s="53">
        <f>SUMIFS(Rewards!$L$3:$L$45,Rewards!$J$3:$J$45,B$4,Rewards!$K$3:$K$45,B40)+SUMIFS(Rewards!$L$3:$L$45,Rewards!$J$3:$J$45,C$4,Rewards!$K$3:$K$45,C40)+SUMIFS(Rewards!$L$3:$L$45,Rewards!$J$3:$J$45,D$4,Rewards!$K$3:$K$45,D40)+SUMIFS(Rewards!$L$3:$L$45,Rewards!$J$3:$J$45,E$4,Rewards!$K$3:$K$45,E40)+SUMIFS(Rewards!$L$3:$L$45,Rewards!$J$3:$J$45,F$4,Rewards!$K$3:$K$45,F40)+SUMIFS(Rewards!$L$3:$L$45,Rewards!$J$3:$J$45,G$4,Rewards!$K$3:$K$45,G40)+SUMIFS(Rewards!$L$3:$L$45,Rewards!$J$3:$J$45,H$4,Rewards!$K$3:$K$45,H40)+SUMIFS(Rewards!$L$3:$L$45,Rewards!$J$3:$J$45,I$4,Rewards!$K$3:$K$45,I40)+SUMIFS(Rewards!$L$3:$L$45,Rewards!$J$3:$J$45,J$4,Rewards!$K$3:$K$45,J40)+SUMIFS(Rewards!$L$3:$L$45,Rewards!$J$3:$J$45,K$4,Rewards!$K$3:$K$45,K40)+SUMIFS(Rewards!$L$3:$L$45,Rewards!$J$3:$J$45,L$4,Rewards!$K$3:$K$45,L40)+SUMIFS(Rewards!$L$3:$L$45,Rewards!$J$3:$J$45,M$4,Rewards!$K$3:$K$45,M40)+SUMIFS(Rewards!$L$3:$L$45,Rewards!$J$3:$J$45,N$4,Rewards!$K$3:$K$45,N40)</f>
        <v>0</v>
      </c>
      <c r="P40" s="82">
        <f t="shared" si="5"/>
        <v>0</v>
      </c>
      <c r="T40" s="73" t="s">
        <v>87</v>
      </c>
      <c r="U40" s="68">
        <f t="shared" si="4"/>
        <v>0</v>
      </c>
      <c r="V40" s="68">
        <f t="shared" si="4"/>
        <v>0</v>
      </c>
      <c r="W40" s="68">
        <f t="shared" si="4"/>
        <v>0</v>
      </c>
      <c r="X40" s="68">
        <f t="shared" si="4"/>
        <v>0</v>
      </c>
      <c r="Y40" s="68">
        <f t="shared" si="4"/>
        <v>0</v>
      </c>
      <c r="Z40" s="68">
        <f t="shared" si="4"/>
        <v>0</v>
      </c>
      <c r="AA40" s="69">
        <f t="shared" si="4"/>
        <v>0</v>
      </c>
    </row>
    <row r="41" spans="1:27" ht="17.55" customHeight="1">
      <c r="A41" s="50" t="s">
        <v>88</v>
      </c>
      <c r="B41" s="4"/>
      <c r="C41" s="4"/>
      <c r="D41" s="4"/>
      <c r="E41" s="4"/>
      <c r="F41" s="4"/>
      <c r="G41" s="4"/>
      <c r="H41" s="4"/>
      <c r="I41" s="4"/>
      <c r="J41" s="4"/>
      <c r="K41" s="4"/>
      <c r="L41" s="4"/>
      <c r="M41" s="4"/>
      <c r="N41" s="57"/>
      <c r="O41" s="53">
        <f>SUMIFS(Rewards!$L$3:$L$45,Rewards!$J$3:$J$45,B$4,Rewards!$K$3:$K$45,B41)+SUMIFS(Rewards!$L$3:$L$45,Rewards!$J$3:$J$45,C$4,Rewards!$K$3:$K$45,C41)+SUMIFS(Rewards!$L$3:$L$45,Rewards!$J$3:$J$45,D$4,Rewards!$K$3:$K$45,D41)+SUMIFS(Rewards!$L$3:$L$45,Rewards!$J$3:$J$45,E$4,Rewards!$K$3:$K$45,E41)+SUMIFS(Rewards!$L$3:$L$45,Rewards!$J$3:$J$45,F$4,Rewards!$K$3:$K$45,F41)+SUMIFS(Rewards!$L$3:$L$45,Rewards!$J$3:$J$45,G$4,Rewards!$K$3:$K$45,G41)+SUMIFS(Rewards!$L$3:$L$45,Rewards!$J$3:$J$45,H$4,Rewards!$K$3:$K$45,H41)+SUMIFS(Rewards!$L$3:$L$45,Rewards!$J$3:$J$45,I$4,Rewards!$K$3:$K$45,I41)+SUMIFS(Rewards!$L$3:$L$45,Rewards!$J$3:$J$45,J$4,Rewards!$K$3:$K$45,J41)+SUMIFS(Rewards!$L$3:$L$45,Rewards!$J$3:$J$45,K$4,Rewards!$K$3:$K$45,K41)+SUMIFS(Rewards!$L$3:$L$45,Rewards!$J$3:$J$45,L$4,Rewards!$K$3:$K$45,L41)+SUMIFS(Rewards!$L$3:$L$45,Rewards!$J$3:$J$45,M$4,Rewards!$K$3:$K$45,M41)+SUMIFS(Rewards!$L$3:$L$45,Rewards!$J$3:$J$45,N$4,Rewards!$K$3:$K$45,N41)</f>
        <v>0</v>
      </c>
      <c r="P41" s="82">
        <f t="shared" si="5"/>
        <v>0</v>
      </c>
      <c r="T41" s="73" t="s">
        <v>88</v>
      </c>
      <c r="U41" s="68">
        <f t="shared" si="4"/>
        <v>0</v>
      </c>
      <c r="V41" s="68">
        <f t="shared" si="4"/>
        <v>0</v>
      </c>
      <c r="W41" s="68">
        <f t="shared" si="4"/>
        <v>0</v>
      </c>
      <c r="X41" s="68">
        <f t="shared" si="4"/>
        <v>0</v>
      </c>
      <c r="Y41" s="68">
        <f t="shared" si="4"/>
        <v>0</v>
      </c>
      <c r="Z41" s="68">
        <f t="shared" si="4"/>
        <v>0</v>
      </c>
      <c r="AA41" s="69">
        <f t="shared" si="4"/>
        <v>0</v>
      </c>
    </row>
    <row r="42" spans="1:27" ht="17.55" customHeight="1">
      <c r="A42" s="50" t="s">
        <v>89</v>
      </c>
      <c r="B42" s="4"/>
      <c r="C42" s="4"/>
      <c r="D42" s="4"/>
      <c r="E42" s="4"/>
      <c r="F42" s="4"/>
      <c r="G42" s="4"/>
      <c r="H42" s="4"/>
      <c r="I42" s="4"/>
      <c r="J42" s="4"/>
      <c r="K42" s="4"/>
      <c r="L42" s="4"/>
      <c r="M42" s="4"/>
      <c r="N42" s="57"/>
      <c r="O42" s="53">
        <f>SUMIFS(Rewards!$L$3:$L$45,Rewards!$J$3:$J$45,B$4,Rewards!$K$3:$K$45,B42)+SUMIFS(Rewards!$L$3:$L$45,Rewards!$J$3:$J$45,C$4,Rewards!$K$3:$K$45,C42)+SUMIFS(Rewards!$L$3:$L$45,Rewards!$J$3:$J$45,D$4,Rewards!$K$3:$K$45,D42)+SUMIFS(Rewards!$L$3:$L$45,Rewards!$J$3:$J$45,E$4,Rewards!$K$3:$K$45,E42)+SUMIFS(Rewards!$L$3:$L$45,Rewards!$J$3:$J$45,F$4,Rewards!$K$3:$K$45,F42)+SUMIFS(Rewards!$L$3:$L$45,Rewards!$J$3:$J$45,G$4,Rewards!$K$3:$K$45,G42)+SUMIFS(Rewards!$L$3:$L$45,Rewards!$J$3:$J$45,H$4,Rewards!$K$3:$K$45,H42)+SUMIFS(Rewards!$L$3:$L$45,Rewards!$J$3:$J$45,I$4,Rewards!$K$3:$K$45,I42)+SUMIFS(Rewards!$L$3:$L$45,Rewards!$J$3:$J$45,J$4,Rewards!$K$3:$K$45,J42)+SUMIFS(Rewards!$L$3:$L$45,Rewards!$J$3:$J$45,K$4,Rewards!$K$3:$K$45,K42)+SUMIFS(Rewards!$L$3:$L$45,Rewards!$J$3:$J$45,L$4,Rewards!$K$3:$K$45,L42)+SUMIFS(Rewards!$L$3:$L$45,Rewards!$J$3:$J$45,M$4,Rewards!$K$3:$K$45,M42)+SUMIFS(Rewards!$L$3:$L$45,Rewards!$J$3:$J$45,N$4,Rewards!$K$3:$K$45,N42)</f>
        <v>0</v>
      </c>
      <c r="P42" s="82">
        <f t="shared" si="5"/>
        <v>0</v>
      </c>
      <c r="T42" s="73" t="s">
        <v>89</v>
      </c>
      <c r="U42" s="68">
        <f t="shared" si="4"/>
        <v>0</v>
      </c>
      <c r="V42" s="68">
        <f t="shared" si="4"/>
        <v>0</v>
      </c>
      <c r="W42" s="68">
        <f t="shared" si="4"/>
        <v>0</v>
      </c>
      <c r="X42" s="68">
        <f t="shared" si="4"/>
        <v>0</v>
      </c>
      <c r="Y42" s="68">
        <f t="shared" si="4"/>
        <v>0</v>
      </c>
      <c r="Z42" s="68">
        <f t="shared" si="4"/>
        <v>0</v>
      </c>
      <c r="AA42" s="69">
        <f t="shared" si="4"/>
        <v>0</v>
      </c>
    </row>
    <row r="43" spans="1:27" ht="17.55" customHeight="1">
      <c r="A43" s="50" t="s">
        <v>90</v>
      </c>
      <c r="B43" s="4"/>
      <c r="C43" s="4"/>
      <c r="D43" s="4"/>
      <c r="E43" s="4"/>
      <c r="F43" s="4"/>
      <c r="G43" s="4"/>
      <c r="H43" s="4"/>
      <c r="I43" s="4"/>
      <c r="J43" s="4"/>
      <c r="K43" s="4"/>
      <c r="L43" s="4"/>
      <c r="M43" s="4"/>
      <c r="N43" s="57"/>
      <c r="O43" s="53">
        <f>SUMIFS(Rewards!$L$3:$L$45,Rewards!$J$3:$J$45,B$4,Rewards!$K$3:$K$45,B43)+SUMIFS(Rewards!$L$3:$L$45,Rewards!$J$3:$J$45,C$4,Rewards!$K$3:$K$45,C43)+SUMIFS(Rewards!$L$3:$L$45,Rewards!$J$3:$J$45,D$4,Rewards!$K$3:$K$45,D43)+SUMIFS(Rewards!$L$3:$L$45,Rewards!$J$3:$J$45,E$4,Rewards!$K$3:$K$45,E43)+SUMIFS(Rewards!$L$3:$L$45,Rewards!$J$3:$J$45,F$4,Rewards!$K$3:$K$45,F43)+SUMIFS(Rewards!$L$3:$L$45,Rewards!$J$3:$J$45,G$4,Rewards!$K$3:$K$45,G43)+SUMIFS(Rewards!$L$3:$L$45,Rewards!$J$3:$J$45,H$4,Rewards!$K$3:$K$45,H43)+SUMIFS(Rewards!$L$3:$L$45,Rewards!$J$3:$J$45,I$4,Rewards!$K$3:$K$45,I43)+SUMIFS(Rewards!$L$3:$L$45,Rewards!$J$3:$J$45,J$4,Rewards!$K$3:$K$45,J43)+SUMIFS(Rewards!$L$3:$L$45,Rewards!$J$3:$J$45,K$4,Rewards!$K$3:$K$45,K43)+SUMIFS(Rewards!$L$3:$L$45,Rewards!$J$3:$J$45,L$4,Rewards!$K$3:$K$45,L43)+SUMIFS(Rewards!$L$3:$L$45,Rewards!$J$3:$J$45,M$4,Rewards!$K$3:$K$45,M43)+SUMIFS(Rewards!$L$3:$L$45,Rewards!$J$3:$J$45,N$4,Rewards!$K$3:$K$45,N43)</f>
        <v>0</v>
      </c>
      <c r="P43" s="82">
        <f t="shared" si="5"/>
        <v>0</v>
      </c>
      <c r="T43" s="73" t="s">
        <v>90</v>
      </c>
      <c r="U43" s="68">
        <f t="shared" si="4"/>
        <v>0</v>
      </c>
      <c r="V43" s="68">
        <f t="shared" si="4"/>
        <v>0</v>
      </c>
      <c r="W43" s="68">
        <f t="shared" si="4"/>
        <v>0</v>
      </c>
      <c r="X43" s="68">
        <f t="shared" si="4"/>
        <v>0</v>
      </c>
      <c r="Y43" s="68">
        <f t="shared" si="4"/>
        <v>0</v>
      </c>
      <c r="Z43" s="68">
        <f t="shared" si="4"/>
        <v>0</v>
      </c>
      <c r="AA43" s="69">
        <f t="shared" si="4"/>
        <v>0</v>
      </c>
    </row>
    <row r="44" spans="1:27" ht="17.55" customHeight="1">
      <c r="A44" s="50" t="s">
        <v>91</v>
      </c>
      <c r="B44" s="4"/>
      <c r="C44" s="4"/>
      <c r="D44" s="4"/>
      <c r="E44" s="4"/>
      <c r="F44" s="4"/>
      <c r="G44" s="4"/>
      <c r="H44" s="4"/>
      <c r="I44" s="4"/>
      <c r="J44" s="4"/>
      <c r="K44" s="4"/>
      <c r="L44" s="4"/>
      <c r="M44" s="4"/>
      <c r="N44" s="57"/>
      <c r="O44" s="53">
        <f>SUMIFS(Rewards!$L$3:$L$45,Rewards!$J$3:$J$45,B$4,Rewards!$K$3:$K$45,B44)+SUMIFS(Rewards!$L$3:$L$45,Rewards!$J$3:$J$45,C$4,Rewards!$K$3:$K$45,C44)+SUMIFS(Rewards!$L$3:$L$45,Rewards!$J$3:$J$45,D$4,Rewards!$K$3:$K$45,D44)+SUMIFS(Rewards!$L$3:$L$45,Rewards!$J$3:$J$45,E$4,Rewards!$K$3:$K$45,E44)+SUMIFS(Rewards!$L$3:$L$45,Rewards!$J$3:$J$45,F$4,Rewards!$K$3:$K$45,F44)+SUMIFS(Rewards!$L$3:$L$45,Rewards!$J$3:$J$45,G$4,Rewards!$K$3:$K$45,G44)+SUMIFS(Rewards!$L$3:$L$45,Rewards!$J$3:$J$45,H$4,Rewards!$K$3:$K$45,H44)+SUMIFS(Rewards!$L$3:$L$45,Rewards!$J$3:$J$45,I$4,Rewards!$K$3:$K$45,I44)+SUMIFS(Rewards!$L$3:$L$45,Rewards!$J$3:$J$45,J$4,Rewards!$K$3:$K$45,J44)+SUMIFS(Rewards!$L$3:$L$45,Rewards!$J$3:$J$45,K$4,Rewards!$K$3:$K$45,K44)+SUMIFS(Rewards!$L$3:$L$45,Rewards!$J$3:$J$45,L$4,Rewards!$K$3:$K$45,L44)+SUMIFS(Rewards!$L$3:$L$45,Rewards!$J$3:$J$45,M$4,Rewards!$K$3:$K$45,M44)+SUMIFS(Rewards!$L$3:$L$45,Rewards!$J$3:$J$45,N$4,Rewards!$K$3:$K$45,N44)</f>
        <v>0</v>
      </c>
      <c r="P44" s="82">
        <f t="shared" si="5"/>
        <v>0</v>
      </c>
      <c r="T44" s="73" t="s">
        <v>91</v>
      </c>
      <c r="U44" s="68">
        <f t="shared" si="4"/>
        <v>0</v>
      </c>
      <c r="V44" s="68">
        <f t="shared" si="4"/>
        <v>0</v>
      </c>
      <c r="W44" s="68">
        <f t="shared" si="4"/>
        <v>0</v>
      </c>
      <c r="X44" s="68">
        <f t="shared" si="4"/>
        <v>0</v>
      </c>
      <c r="Y44" s="68">
        <f t="shared" si="4"/>
        <v>0</v>
      </c>
      <c r="Z44" s="68">
        <f t="shared" si="4"/>
        <v>0</v>
      </c>
      <c r="AA44" s="69">
        <f t="shared" si="4"/>
        <v>0</v>
      </c>
    </row>
    <row r="45" spans="1:27" ht="17.55" customHeight="1">
      <c r="A45" s="50" t="s">
        <v>92</v>
      </c>
      <c r="B45" s="4"/>
      <c r="C45" s="4"/>
      <c r="D45" s="4"/>
      <c r="E45" s="4"/>
      <c r="F45" s="4"/>
      <c r="G45" s="4"/>
      <c r="H45" s="4"/>
      <c r="I45" s="4"/>
      <c r="J45" s="4"/>
      <c r="K45" s="4"/>
      <c r="L45" s="4"/>
      <c r="M45" s="4"/>
      <c r="N45" s="57"/>
      <c r="O45" s="53">
        <f>SUMIFS(Rewards!$L$3:$L$45,Rewards!$J$3:$J$45,B$4,Rewards!$K$3:$K$45,B45)+SUMIFS(Rewards!$L$3:$L$45,Rewards!$J$3:$J$45,C$4,Rewards!$K$3:$K$45,C45)+SUMIFS(Rewards!$L$3:$L$45,Rewards!$J$3:$J$45,D$4,Rewards!$K$3:$K$45,D45)+SUMIFS(Rewards!$L$3:$L$45,Rewards!$J$3:$J$45,E$4,Rewards!$K$3:$K$45,E45)+SUMIFS(Rewards!$L$3:$L$45,Rewards!$J$3:$J$45,F$4,Rewards!$K$3:$K$45,F45)+SUMIFS(Rewards!$L$3:$L$45,Rewards!$J$3:$J$45,G$4,Rewards!$K$3:$K$45,G45)+SUMIFS(Rewards!$L$3:$L$45,Rewards!$J$3:$J$45,H$4,Rewards!$K$3:$K$45,H45)+SUMIFS(Rewards!$L$3:$L$45,Rewards!$J$3:$J$45,I$4,Rewards!$K$3:$K$45,I45)+SUMIFS(Rewards!$L$3:$L$45,Rewards!$J$3:$J$45,J$4,Rewards!$K$3:$K$45,J45)+SUMIFS(Rewards!$L$3:$L$45,Rewards!$J$3:$J$45,K$4,Rewards!$K$3:$K$45,K45)+SUMIFS(Rewards!$L$3:$L$45,Rewards!$J$3:$J$45,L$4,Rewards!$K$3:$K$45,L45)+SUMIFS(Rewards!$L$3:$L$45,Rewards!$J$3:$J$45,M$4,Rewards!$K$3:$K$45,M45)+SUMIFS(Rewards!$L$3:$L$45,Rewards!$J$3:$J$45,N$4,Rewards!$K$3:$K$45,N45)</f>
        <v>0</v>
      </c>
      <c r="P45" s="82">
        <f t="shared" si="5"/>
        <v>0</v>
      </c>
      <c r="T45" s="73" t="s">
        <v>92</v>
      </c>
      <c r="U45" s="68">
        <f t="shared" ref="U45:AA54" si="6">COUNTIF($B45:$N45,U$4)</f>
        <v>0</v>
      </c>
      <c r="V45" s="68">
        <f t="shared" si="6"/>
        <v>0</v>
      </c>
      <c r="W45" s="68">
        <f t="shared" si="6"/>
        <v>0</v>
      </c>
      <c r="X45" s="68">
        <f t="shared" si="6"/>
        <v>0</v>
      </c>
      <c r="Y45" s="68">
        <f t="shared" si="6"/>
        <v>0</v>
      </c>
      <c r="Z45" s="68">
        <f t="shared" si="6"/>
        <v>0</v>
      </c>
      <c r="AA45" s="69">
        <f t="shared" si="6"/>
        <v>0</v>
      </c>
    </row>
    <row r="46" spans="1:27" ht="17.55" customHeight="1">
      <c r="A46" s="50" t="s">
        <v>93</v>
      </c>
      <c r="B46" s="4"/>
      <c r="C46" s="4"/>
      <c r="D46" s="4"/>
      <c r="E46" s="4"/>
      <c r="F46" s="4"/>
      <c r="G46" s="4"/>
      <c r="H46" s="4"/>
      <c r="I46" s="4"/>
      <c r="J46" s="4"/>
      <c r="K46" s="4"/>
      <c r="L46" s="4"/>
      <c r="M46" s="4"/>
      <c r="N46" s="57"/>
      <c r="O46" s="53">
        <f>SUMIFS(Rewards!$L$3:$L$45,Rewards!$J$3:$J$45,B$4,Rewards!$K$3:$K$45,B46)+SUMIFS(Rewards!$L$3:$L$45,Rewards!$J$3:$J$45,C$4,Rewards!$K$3:$K$45,C46)+SUMIFS(Rewards!$L$3:$L$45,Rewards!$J$3:$J$45,D$4,Rewards!$K$3:$K$45,D46)+SUMIFS(Rewards!$L$3:$L$45,Rewards!$J$3:$J$45,E$4,Rewards!$K$3:$K$45,E46)+SUMIFS(Rewards!$L$3:$L$45,Rewards!$J$3:$J$45,F$4,Rewards!$K$3:$K$45,F46)+SUMIFS(Rewards!$L$3:$L$45,Rewards!$J$3:$J$45,G$4,Rewards!$K$3:$K$45,G46)+SUMIFS(Rewards!$L$3:$L$45,Rewards!$J$3:$J$45,H$4,Rewards!$K$3:$K$45,H46)+SUMIFS(Rewards!$L$3:$L$45,Rewards!$J$3:$J$45,I$4,Rewards!$K$3:$K$45,I46)+SUMIFS(Rewards!$L$3:$L$45,Rewards!$J$3:$J$45,J$4,Rewards!$K$3:$K$45,J46)+SUMIFS(Rewards!$L$3:$L$45,Rewards!$J$3:$J$45,K$4,Rewards!$K$3:$K$45,K46)+SUMIFS(Rewards!$L$3:$L$45,Rewards!$J$3:$J$45,L$4,Rewards!$K$3:$K$45,L46)+SUMIFS(Rewards!$L$3:$L$45,Rewards!$J$3:$J$45,M$4,Rewards!$K$3:$K$45,M46)+SUMIFS(Rewards!$L$3:$L$45,Rewards!$J$3:$J$45,N$4,Rewards!$K$3:$K$45,N46)</f>
        <v>0</v>
      </c>
      <c r="P46" s="82">
        <f t="shared" si="5"/>
        <v>0</v>
      </c>
      <c r="T46" s="73" t="s">
        <v>93</v>
      </c>
      <c r="U46" s="68">
        <f t="shared" si="6"/>
        <v>0</v>
      </c>
      <c r="V46" s="68">
        <f t="shared" si="6"/>
        <v>0</v>
      </c>
      <c r="W46" s="68">
        <f t="shared" si="6"/>
        <v>0</v>
      </c>
      <c r="X46" s="68">
        <f t="shared" si="6"/>
        <v>0</v>
      </c>
      <c r="Y46" s="68">
        <f t="shared" si="6"/>
        <v>0</v>
      </c>
      <c r="Z46" s="68">
        <f t="shared" si="6"/>
        <v>0</v>
      </c>
      <c r="AA46" s="69">
        <f t="shared" si="6"/>
        <v>0</v>
      </c>
    </row>
    <row r="47" spans="1:27" ht="17.55" customHeight="1">
      <c r="A47" s="50" t="s">
        <v>94</v>
      </c>
      <c r="B47" s="4"/>
      <c r="C47" s="4"/>
      <c r="D47" s="4"/>
      <c r="E47" s="4"/>
      <c r="F47" s="4"/>
      <c r="G47" s="4"/>
      <c r="H47" s="4"/>
      <c r="I47" s="4"/>
      <c r="J47" s="4"/>
      <c r="K47" s="4"/>
      <c r="L47" s="4"/>
      <c r="M47" s="4"/>
      <c r="N47" s="57"/>
      <c r="O47" s="53">
        <f>SUMIFS(Rewards!$L$3:$L$45,Rewards!$J$3:$J$45,B$4,Rewards!$K$3:$K$45,B47)+SUMIFS(Rewards!$L$3:$L$45,Rewards!$J$3:$J$45,C$4,Rewards!$K$3:$K$45,C47)+SUMIFS(Rewards!$L$3:$L$45,Rewards!$J$3:$J$45,D$4,Rewards!$K$3:$K$45,D47)+SUMIFS(Rewards!$L$3:$L$45,Rewards!$J$3:$J$45,E$4,Rewards!$K$3:$K$45,E47)+SUMIFS(Rewards!$L$3:$L$45,Rewards!$J$3:$J$45,F$4,Rewards!$K$3:$K$45,F47)+SUMIFS(Rewards!$L$3:$L$45,Rewards!$J$3:$J$45,G$4,Rewards!$K$3:$K$45,G47)+SUMIFS(Rewards!$L$3:$L$45,Rewards!$J$3:$J$45,H$4,Rewards!$K$3:$K$45,H47)+SUMIFS(Rewards!$L$3:$L$45,Rewards!$J$3:$J$45,I$4,Rewards!$K$3:$K$45,I47)+SUMIFS(Rewards!$L$3:$L$45,Rewards!$J$3:$J$45,J$4,Rewards!$K$3:$K$45,J47)+SUMIFS(Rewards!$L$3:$L$45,Rewards!$J$3:$J$45,K$4,Rewards!$K$3:$K$45,K47)+SUMIFS(Rewards!$L$3:$L$45,Rewards!$J$3:$J$45,L$4,Rewards!$K$3:$K$45,L47)+SUMIFS(Rewards!$L$3:$L$45,Rewards!$J$3:$J$45,M$4,Rewards!$K$3:$K$45,M47)+SUMIFS(Rewards!$L$3:$L$45,Rewards!$J$3:$J$45,N$4,Rewards!$K$3:$K$45,N47)</f>
        <v>0</v>
      </c>
      <c r="P47" s="82">
        <f t="shared" si="5"/>
        <v>0</v>
      </c>
      <c r="T47" s="73" t="s">
        <v>94</v>
      </c>
      <c r="U47" s="68">
        <f t="shared" si="6"/>
        <v>0</v>
      </c>
      <c r="V47" s="68">
        <f t="shared" si="6"/>
        <v>0</v>
      </c>
      <c r="W47" s="68">
        <f t="shared" si="6"/>
        <v>0</v>
      </c>
      <c r="X47" s="68">
        <f t="shared" si="6"/>
        <v>0</v>
      </c>
      <c r="Y47" s="68">
        <f t="shared" si="6"/>
        <v>0</v>
      </c>
      <c r="Z47" s="68">
        <f t="shared" si="6"/>
        <v>0</v>
      </c>
      <c r="AA47" s="69">
        <f t="shared" si="6"/>
        <v>0</v>
      </c>
    </row>
    <row r="48" spans="1:27" ht="17.55" customHeight="1">
      <c r="A48" s="50" t="s">
        <v>95</v>
      </c>
      <c r="B48" s="4"/>
      <c r="C48" s="4"/>
      <c r="D48" s="4"/>
      <c r="E48" s="4"/>
      <c r="F48" s="4"/>
      <c r="G48" s="4"/>
      <c r="H48" s="4"/>
      <c r="I48" s="4"/>
      <c r="J48" s="4"/>
      <c r="K48" s="4"/>
      <c r="L48" s="4"/>
      <c r="M48" s="4"/>
      <c r="N48" s="57"/>
      <c r="O48" s="53">
        <f>SUMIFS(Rewards!$L$3:$L$45,Rewards!$J$3:$J$45,B$4,Rewards!$K$3:$K$45,B48)+SUMIFS(Rewards!$L$3:$L$45,Rewards!$J$3:$J$45,C$4,Rewards!$K$3:$K$45,C48)+SUMIFS(Rewards!$L$3:$L$45,Rewards!$J$3:$J$45,D$4,Rewards!$K$3:$K$45,D48)+SUMIFS(Rewards!$L$3:$L$45,Rewards!$J$3:$J$45,E$4,Rewards!$K$3:$K$45,E48)+SUMIFS(Rewards!$L$3:$L$45,Rewards!$J$3:$J$45,F$4,Rewards!$K$3:$K$45,F48)+SUMIFS(Rewards!$L$3:$L$45,Rewards!$J$3:$J$45,G$4,Rewards!$K$3:$K$45,G48)+SUMIFS(Rewards!$L$3:$L$45,Rewards!$J$3:$J$45,H$4,Rewards!$K$3:$K$45,H48)+SUMIFS(Rewards!$L$3:$L$45,Rewards!$J$3:$J$45,I$4,Rewards!$K$3:$K$45,I48)+SUMIFS(Rewards!$L$3:$L$45,Rewards!$J$3:$J$45,J$4,Rewards!$K$3:$K$45,J48)+SUMIFS(Rewards!$L$3:$L$45,Rewards!$J$3:$J$45,K$4,Rewards!$K$3:$K$45,K48)+SUMIFS(Rewards!$L$3:$L$45,Rewards!$J$3:$J$45,L$4,Rewards!$K$3:$K$45,L48)+SUMIFS(Rewards!$L$3:$L$45,Rewards!$J$3:$J$45,M$4,Rewards!$K$3:$K$45,M48)+SUMIFS(Rewards!$L$3:$L$45,Rewards!$J$3:$J$45,N$4,Rewards!$K$3:$K$45,N48)</f>
        <v>0</v>
      </c>
      <c r="P48" s="82">
        <f t="shared" si="5"/>
        <v>0</v>
      </c>
      <c r="T48" s="73" t="s">
        <v>95</v>
      </c>
      <c r="U48" s="68">
        <f t="shared" si="6"/>
        <v>0</v>
      </c>
      <c r="V48" s="68">
        <f t="shared" si="6"/>
        <v>0</v>
      </c>
      <c r="W48" s="68">
        <f t="shared" si="6"/>
        <v>0</v>
      </c>
      <c r="X48" s="68">
        <f t="shared" si="6"/>
        <v>0</v>
      </c>
      <c r="Y48" s="68">
        <f t="shared" si="6"/>
        <v>0</v>
      </c>
      <c r="Z48" s="68">
        <f t="shared" si="6"/>
        <v>0</v>
      </c>
      <c r="AA48" s="69">
        <f t="shared" si="6"/>
        <v>0</v>
      </c>
    </row>
    <row r="49" spans="1:27" ht="17.55" customHeight="1">
      <c r="A49" s="50" t="s">
        <v>96</v>
      </c>
      <c r="B49" s="4"/>
      <c r="C49" s="4"/>
      <c r="D49" s="4"/>
      <c r="E49" s="4"/>
      <c r="F49" s="4"/>
      <c r="G49" s="4"/>
      <c r="H49" s="4"/>
      <c r="I49" s="4"/>
      <c r="J49" s="4"/>
      <c r="K49" s="4"/>
      <c r="L49" s="4"/>
      <c r="M49" s="4"/>
      <c r="N49" s="57"/>
      <c r="O49" s="53">
        <f>SUMIFS(Rewards!$L$3:$L$45,Rewards!$J$3:$J$45,B$4,Rewards!$K$3:$K$45,B49)+SUMIFS(Rewards!$L$3:$L$45,Rewards!$J$3:$J$45,C$4,Rewards!$K$3:$K$45,C49)+SUMIFS(Rewards!$L$3:$L$45,Rewards!$J$3:$J$45,D$4,Rewards!$K$3:$K$45,D49)+SUMIFS(Rewards!$L$3:$L$45,Rewards!$J$3:$J$45,E$4,Rewards!$K$3:$K$45,E49)+SUMIFS(Rewards!$L$3:$L$45,Rewards!$J$3:$J$45,F$4,Rewards!$K$3:$K$45,F49)+SUMIFS(Rewards!$L$3:$L$45,Rewards!$J$3:$J$45,G$4,Rewards!$K$3:$K$45,G49)+SUMIFS(Rewards!$L$3:$L$45,Rewards!$J$3:$J$45,H$4,Rewards!$K$3:$K$45,H49)+SUMIFS(Rewards!$L$3:$L$45,Rewards!$J$3:$J$45,I$4,Rewards!$K$3:$K$45,I49)+SUMIFS(Rewards!$L$3:$L$45,Rewards!$J$3:$J$45,J$4,Rewards!$K$3:$K$45,J49)+SUMIFS(Rewards!$L$3:$L$45,Rewards!$J$3:$J$45,K$4,Rewards!$K$3:$K$45,K49)+SUMIFS(Rewards!$L$3:$L$45,Rewards!$J$3:$J$45,L$4,Rewards!$K$3:$K$45,L49)+SUMIFS(Rewards!$L$3:$L$45,Rewards!$J$3:$J$45,M$4,Rewards!$K$3:$K$45,M49)+SUMIFS(Rewards!$L$3:$L$45,Rewards!$J$3:$J$45,N$4,Rewards!$K$3:$K$45,N49)</f>
        <v>0</v>
      </c>
      <c r="P49" s="82">
        <f t="shared" si="5"/>
        <v>0</v>
      </c>
      <c r="T49" s="73" t="s">
        <v>96</v>
      </c>
      <c r="U49" s="68">
        <f t="shared" si="6"/>
        <v>0</v>
      </c>
      <c r="V49" s="68">
        <f t="shared" si="6"/>
        <v>0</v>
      </c>
      <c r="W49" s="68">
        <f t="shared" si="6"/>
        <v>0</v>
      </c>
      <c r="X49" s="68">
        <f t="shared" si="6"/>
        <v>0</v>
      </c>
      <c r="Y49" s="68">
        <f t="shared" si="6"/>
        <v>0</v>
      </c>
      <c r="Z49" s="68">
        <f t="shared" si="6"/>
        <v>0</v>
      </c>
      <c r="AA49" s="69">
        <f t="shared" si="6"/>
        <v>0</v>
      </c>
    </row>
    <row r="50" spans="1:27" ht="17.55" customHeight="1">
      <c r="A50" s="50" t="s">
        <v>97</v>
      </c>
      <c r="B50" s="4"/>
      <c r="C50" s="4"/>
      <c r="D50" s="4"/>
      <c r="E50" s="4"/>
      <c r="F50" s="4"/>
      <c r="G50" s="4"/>
      <c r="H50" s="4"/>
      <c r="I50" s="4"/>
      <c r="J50" s="4"/>
      <c r="K50" s="4"/>
      <c r="L50" s="4"/>
      <c r="M50" s="4"/>
      <c r="N50" s="57"/>
      <c r="O50" s="53">
        <f>SUMIFS(Rewards!$L$3:$L$45,Rewards!$J$3:$J$45,B$4,Rewards!$K$3:$K$45,B50)+SUMIFS(Rewards!$L$3:$L$45,Rewards!$J$3:$J$45,C$4,Rewards!$K$3:$K$45,C50)+SUMIFS(Rewards!$L$3:$L$45,Rewards!$J$3:$J$45,D$4,Rewards!$K$3:$K$45,D50)+SUMIFS(Rewards!$L$3:$L$45,Rewards!$J$3:$J$45,E$4,Rewards!$K$3:$K$45,E50)+SUMIFS(Rewards!$L$3:$L$45,Rewards!$J$3:$J$45,F$4,Rewards!$K$3:$K$45,F50)+SUMIFS(Rewards!$L$3:$L$45,Rewards!$J$3:$J$45,G$4,Rewards!$K$3:$K$45,G50)+SUMIFS(Rewards!$L$3:$L$45,Rewards!$J$3:$J$45,H$4,Rewards!$K$3:$K$45,H50)+SUMIFS(Rewards!$L$3:$L$45,Rewards!$J$3:$J$45,I$4,Rewards!$K$3:$K$45,I50)+SUMIFS(Rewards!$L$3:$L$45,Rewards!$J$3:$J$45,J$4,Rewards!$K$3:$K$45,J50)+SUMIFS(Rewards!$L$3:$L$45,Rewards!$J$3:$J$45,K$4,Rewards!$K$3:$K$45,K50)+SUMIFS(Rewards!$L$3:$L$45,Rewards!$J$3:$J$45,L$4,Rewards!$K$3:$K$45,L50)+SUMIFS(Rewards!$L$3:$L$45,Rewards!$J$3:$J$45,M$4,Rewards!$K$3:$K$45,M50)+SUMIFS(Rewards!$L$3:$L$45,Rewards!$J$3:$J$45,N$4,Rewards!$K$3:$K$45,N50)</f>
        <v>0</v>
      </c>
      <c r="P50" s="82">
        <f t="shared" si="5"/>
        <v>0</v>
      </c>
      <c r="T50" s="73" t="s">
        <v>97</v>
      </c>
      <c r="U50" s="68">
        <f t="shared" si="6"/>
        <v>0</v>
      </c>
      <c r="V50" s="68">
        <f t="shared" si="6"/>
        <v>0</v>
      </c>
      <c r="W50" s="68">
        <f t="shared" si="6"/>
        <v>0</v>
      </c>
      <c r="X50" s="68">
        <f t="shared" si="6"/>
        <v>0</v>
      </c>
      <c r="Y50" s="68">
        <f t="shared" si="6"/>
        <v>0</v>
      </c>
      <c r="Z50" s="68">
        <f t="shared" si="6"/>
        <v>0</v>
      </c>
      <c r="AA50" s="69">
        <f t="shared" si="6"/>
        <v>0</v>
      </c>
    </row>
    <row r="51" spans="1:27" ht="17.55" customHeight="1">
      <c r="A51" s="50" t="s">
        <v>98</v>
      </c>
      <c r="B51" s="4"/>
      <c r="C51" s="4"/>
      <c r="D51" s="4"/>
      <c r="E51" s="4"/>
      <c r="F51" s="4"/>
      <c r="G51" s="4"/>
      <c r="H51" s="4"/>
      <c r="I51" s="4"/>
      <c r="J51" s="4"/>
      <c r="K51" s="4"/>
      <c r="L51" s="4"/>
      <c r="M51" s="4"/>
      <c r="N51" s="57"/>
      <c r="O51" s="53">
        <f>SUMIFS(Rewards!$L$3:$L$45,Rewards!$J$3:$J$45,B$4,Rewards!$K$3:$K$45,B51)+SUMIFS(Rewards!$L$3:$L$45,Rewards!$J$3:$J$45,C$4,Rewards!$K$3:$K$45,C51)+SUMIFS(Rewards!$L$3:$L$45,Rewards!$J$3:$J$45,D$4,Rewards!$K$3:$K$45,D51)+SUMIFS(Rewards!$L$3:$L$45,Rewards!$J$3:$J$45,E$4,Rewards!$K$3:$K$45,E51)+SUMIFS(Rewards!$L$3:$L$45,Rewards!$J$3:$J$45,F$4,Rewards!$K$3:$K$45,F51)+SUMIFS(Rewards!$L$3:$L$45,Rewards!$J$3:$J$45,G$4,Rewards!$K$3:$K$45,G51)+SUMIFS(Rewards!$L$3:$L$45,Rewards!$J$3:$J$45,H$4,Rewards!$K$3:$K$45,H51)+SUMIFS(Rewards!$L$3:$L$45,Rewards!$J$3:$J$45,I$4,Rewards!$K$3:$K$45,I51)+SUMIFS(Rewards!$L$3:$L$45,Rewards!$J$3:$J$45,J$4,Rewards!$K$3:$K$45,J51)+SUMIFS(Rewards!$L$3:$L$45,Rewards!$J$3:$J$45,K$4,Rewards!$K$3:$K$45,K51)+SUMIFS(Rewards!$L$3:$L$45,Rewards!$J$3:$J$45,L$4,Rewards!$K$3:$K$45,L51)+SUMIFS(Rewards!$L$3:$L$45,Rewards!$J$3:$J$45,M$4,Rewards!$K$3:$K$45,M51)+SUMIFS(Rewards!$L$3:$L$45,Rewards!$J$3:$J$45,N$4,Rewards!$K$3:$K$45,N51)</f>
        <v>0</v>
      </c>
      <c r="P51" s="82">
        <f t="shared" si="5"/>
        <v>0</v>
      </c>
      <c r="T51" s="73" t="s">
        <v>98</v>
      </c>
      <c r="U51" s="68">
        <f t="shared" si="6"/>
        <v>0</v>
      </c>
      <c r="V51" s="68">
        <f t="shared" si="6"/>
        <v>0</v>
      </c>
      <c r="W51" s="68">
        <f t="shared" si="6"/>
        <v>0</v>
      </c>
      <c r="X51" s="68">
        <f t="shared" si="6"/>
        <v>0</v>
      </c>
      <c r="Y51" s="68">
        <f t="shared" si="6"/>
        <v>0</v>
      </c>
      <c r="Z51" s="68">
        <f t="shared" si="6"/>
        <v>0</v>
      </c>
      <c r="AA51" s="69">
        <f t="shared" si="6"/>
        <v>0</v>
      </c>
    </row>
    <row r="52" spans="1:27" ht="17.55" customHeight="1">
      <c r="A52" s="50" t="s">
        <v>99</v>
      </c>
      <c r="B52" s="4"/>
      <c r="C52" s="4"/>
      <c r="D52" s="4"/>
      <c r="E52" s="4"/>
      <c r="F52" s="4"/>
      <c r="G52" s="4"/>
      <c r="H52" s="4"/>
      <c r="I52" s="4"/>
      <c r="J52" s="4"/>
      <c r="K52" s="4"/>
      <c r="L52" s="4"/>
      <c r="M52" s="4"/>
      <c r="N52" s="57"/>
      <c r="O52" s="53">
        <f>SUMIFS(Rewards!$L$3:$L$45,Rewards!$J$3:$J$45,B$4,Rewards!$K$3:$K$45,B52)+SUMIFS(Rewards!$L$3:$L$45,Rewards!$J$3:$J$45,C$4,Rewards!$K$3:$K$45,C52)+SUMIFS(Rewards!$L$3:$L$45,Rewards!$J$3:$J$45,D$4,Rewards!$K$3:$K$45,D52)+SUMIFS(Rewards!$L$3:$L$45,Rewards!$J$3:$J$45,E$4,Rewards!$K$3:$K$45,E52)+SUMIFS(Rewards!$L$3:$L$45,Rewards!$J$3:$J$45,F$4,Rewards!$K$3:$K$45,F52)+SUMIFS(Rewards!$L$3:$L$45,Rewards!$J$3:$J$45,G$4,Rewards!$K$3:$K$45,G52)+SUMIFS(Rewards!$L$3:$L$45,Rewards!$J$3:$J$45,H$4,Rewards!$K$3:$K$45,H52)+SUMIFS(Rewards!$L$3:$L$45,Rewards!$J$3:$J$45,I$4,Rewards!$K$3:$K$45,I52)+SUMIFS(Rewards!$L$3:$L$45,Rewards!$J$3:$J$45,J$4,Rewards!$K$3:$K$45,J52)+SUMIFS(Rewards!$L$3:$L$45,Rewards!$J$3:$J$45,K$4,Rewards!$K$3:$K$45,K52)+SUMIFS(Rewards!$L$3:$L$45,Rewards!$J$3:$J$45,L$4,Rewards!$K$3:$K$45,L52)+SUMIFS(Rewards!$L$3:$L$45,Rewards!$J$3:$J$45,M$4,Rewards!$K$3:$K$45,M52)+SUMIFS(Rewards!$L$3:$L$45,Rewards!$J$3:$J$45,N$4,Rewards!$K$3:$K$45,N52)</f>
        <v>0</v>
      </c>
      <c r="P52" s="82">
        <f t="shared" si="5"/>
        <v>0</v>
      </c>
      <c r="T52" s="73" t="s">
        <v>99</v>
      </c>
      <c r="U52" s="68">
        <f t="shared" si="6"/>
        <v>0</v>
      </c>
      <c r="V52" s="68">
        <f t="shared" si="6"/>
        <v>0</v>
      </c>
      <c r="W52" s="68">
        <f t="shared" si="6"/>
        <v>0</v>
      </c>
      <c r="X52" s="68">
        <f t="shared" si="6"/>
        <v>0</v>
      </c>
      <c r="Y52" s="68">
        <f t="shared" si="6"/>
        <v>0</v>
      </c>
      <c r="Z52" s="68">
        <f t="shared" si="6"/>
        <v>0</v>
      </c>
      <c r="AA52" s="69">
        <f t="shared" si="6"/>
        <v>0</v>
      </c>
    </row>
    <row r="53" spans="1:27" ht="17.55" customHeight="1">
      <c r="A53" s="50" t="s">
        <v>100</v>
      </c>
      <c r="B53" s="4"/>
      <c r="C53" s="4"/>
      <c r="D53" s="4"/>
      <c r="E53" s="4"/>
      <c r="F53" s="4"/>
      <c r="G53" s="4"/>
      <c r="H53" s="4"/>
      <c r="I53" s="4"/>
      <c r="J53" s="4"/>
      <c r="K53" s="4"/>
      <c r="L53" s="4"/>
      <c r="M53" s="4"/>
      <c r="N53" s="57"/>
      <c r="O53" s="53">
        <f>SUMIFS(Rewards!$L$3:$L$45,Rewards!$J$3:$J$45,B$4,Rewards!$K$3:$K$45,B53)+SUMIFS(Rewards!$L$3:$L$45,Rewards!$J$3:$J$45,C$4,Rewards!$K$3:$K$45,C53)+SUMIFS(Rewards!$L$3:$L$45,Rewards!$J$3:$J$45,D$4,Rewards!$K$3:$K$45,D53)+SUMIFS(Rewards!$L$3:$L$45,Rewards!$J$3:$J$45,E$4,Rewards!$K$3:$K$45,E53)+SUMIFS(Rewards!$L$3:$L$45,Rewards!$J$3:$J$45,F$4,Rewards!$K$3:$K$45,F53)+SUMIFS(Rewards!$L$3:$L$45,Rewards!$J$3:$J$45,G$4,Rewards!$K$3:$K$45,G53)+SUMIFS(Rewards!$L$3:$L$45,Rewards!$J$3:$J$45,H$4,Rewards!$K$3:$K$45,H53)+SUMIFS(Rewards!$L$3:$L$45,Rewards!$J$3:$J$45,I$4,Rewards!$K$3:$K$45,I53)+SUMIFS(Rewards!$L$3:$L$45,Rewards!$J$3:$J$45,J$4,Rewards!$K$3:$K$45,J53)+SUMIFS(Rewards!$L$3:$L$45,Rewards!$J$3:$J$45,K$4,Rewards!$K$3:$K$45,K53)+SUMIFS(Rewards!$L$3:$L$45,Rewards!$J$3:$J$45,L$4,Rewards!$K$3:$K$45,L53)+SUMIFS(Rewards!$L$3:$L$45,Rewards!$J$3:$J$45,M$4,Rewards!$K$3:$K$45,M53)+SUMIFS(Rewards!$L$3:$L$45,Rewards!$J$3:$J$45,N$4,Rewards!$K$3:$K$45,N53)</f>
        <v>0</v>
      </c>
      <c r="P53" s="82">
        <f t="shared" si="5"/>
        <v>0</v>
      </c>
      <c r="T53" s="73" t="s">
        <v>100</v>
      </c>
      <c r="U53" s="68">
        <f t="shared" si="6"/>
        <v>0</v>
      </c>
      <c r="V53" s="68">
        <f t="shared" si="6"/>
        <v>0</v>
      </c>
      <c r="W53" s="68">
        <f t="shared" si="6"/>
        <v>0</v>
      </c>
      <c r="X53" s="68">
        <f t="shared" si="6"/>
        <v>0</v>
      </c>
      <c r="Y53" s="68">
        <f t="shared" si="6"/>
        <v>0</v>
      </c>
      <c r="Z53" s="68">
        <f t="shared" si="6"/>
        <v>0</v>
      </c>
      <c r="AA53" s="69">
        <f t="shared" si="6"/>
        <v>0</v>
      </c>
    </row>
    <row r="54" spans="1:27" ht="17.55" customHeight="1">
      <c r="A54" s="50" t="s">
        <v>101</v>
      </c>
      <c r="B54" s="4"/>
      <c r="C54" s="4"/>
      <c r="D54" s="4"/>
      <c r="E54" s="4"/>
      <c r="F54" s="4"/>
      <c r="G54" s="4"/>
      <c r="H54" s="4"/>
      <c r="I54" s="4"/>
      <c r="J54" s="4"/>
      <c r="K54" s="4"/>
      <c r="L54" s="4"/>
      <c r="M54" s="4"/>
      <c r="N54" s="57"/>
      <c r="O54" s="53">
        <f>SUMIFS(Rewards!$L$3:$L$45,Rewards!$J$3:$J$45,B$4,Rewards!$K$3:$K$45,B54)+SUMIFS(Rewards!$L$3:$L$45,Rewards!$J$3:$J$45,C$4,Rewards!$K$3:$K$45,C54)+SUMIFS(Rewards!$L$3:$L$45,Rewards!$J$3:$J$45,D$4,Rewards!$K$3:$K$45,D54)+SUMIFS(Rewards!$L$3:$L$45,Rewards!$J$3:$J$45,E$4,Rewards!$K$3:$K$45,E54)+SUMIFS(Rewards!$L$3:$L$45,Rewards!$J$3:$J$45,F$4,Rewards!$K$3:$K$45,F54)+SUMIFS(Rewards!$L$3:$L$45,Rewards!$J$3:$J$45,G$4,Rewards!$K$3:$K$45,G54)+SUMIFS(Rewards!$L$3:$L$45,Rewards!$J$3:$J$45,H$4,Rewards!$K$3:$K$45,H54)+SUMIFS(Rewards!$L$3:$L$45,Rewards!$J$3:$J$45,I$4,Rewards!$K$3:$K$45,I54)+SUMIFS(Rewards!$L$3:$L$45,Rewards!$J$3:$J$45,J$4,Rewards!$K$3:$K$45,J54)+SUMIFS(Rewards!$L$3:$L$45,Rewards!$J$3:$J$45,K$4,Rewards!$K$3:$K$45,K54)+SUMIFS(Rewards!$L$3:$L$45,Rewards!$J$3:$J$45,L$4,Rewards!$K$3:$K$45,L54)+SUMIFS(Rewards!$L$3:$L$45,Rewards!$J$3:$J$45,M$4,Rewards!$K$3:$K$45,M54)+SUMIFS(Rewards!$L$3:$L$45,Rewards!$J$3:$J$45,N$4,Rewards!$K$3:$K$45,N54)</f>
        <v>0</v>
      </c>
      <c r="P54" s="82">
        <f t="shared" si="5"/>
        <v>0</v>
      </c>
      <c r="T54" s="73" t="s">
        <v>101</v>
      </c>
      <c r="U54" s="68">
        <f t="shared" si="6"/>
        <v>0</v>
      </c>
      <c r="V54" s="68">
        <f t="shared" si="6"/>
        <v>0</v>
      </c>
      <c r="W54" s="68">
        <f t="shared" si="6"/>
        <v>0</v>
      </c>
      <c r="X54" s="68">
        <f t="shared" si="6"/>
        <v>0</v>
      </c>
      <c r="Y54" s="68">
        <f t="shared" si="6"/>
        <v>0</v>
      </c>
      <c r="Z54" s="68">
        <f t="shared" si="6"/>
        <v>0</v>
      </c>
      <c r="AA54" s="69">
        <f t="shared" si="6"/>
        <v>0</v>
      </c>
    </row>
    <row r="55" spans="1:27" ht="17.55" customHeight="1">
      <c r="A55" s="50" t="s">
        <v>102</v>
      </c>
      <c r="B55" s="4"/>
      <c r="C55" s="4"/>
      <c r="D55" s="4"/>
      <c r="E55" s="4"/>
      <c r="F55" s="4"/>
      <c r="G55" s="4"/>
      <c r="H55" s="4"/>
      <c r="I55" s="4"/>
      <c r="J55" s="4"/>
      <c r="K55" s="4"/>
      <c r="L55" s="4"/>
      <c r="M55" s="4"/>
      <c r="N55" s="57"/>
      <c r="O55" s="53">
        <f>SUMIFS(Rewards!$L$3:$L$45,Rewards!$J$3:$J$45,B$4,Rewards!$K$3:$K$45,B55)+SUMIFS(Rewards!$L$3:$L$45,Rewards!$J$3:$J$45,C$4,Rewards!$K$3:$K$45,C55)+SUMIFS(Rewards!$L$3:$L$45,Rewards!$J$3:$J$45,D$4,Rewards!$K$3:$K$45,D55)+SUMIFS(Rewards!$L$3:$L$45,Rewards!$J$3:$J$45,E$4,Rewards!$K$3:$K$45,E55)+SUMIFS(Rewards!$L$3:$L$45,Rewards!$J$3:$J$45,F$4,Rewards!$K$3:$K$45,F55)+SUMIFS(Rewards!$L$3:$L$45,Rewards!$J$3:$J$45,G$4,Rewards!$K$3:$K$45,G55)+SUMIFS(Rewards!$L$3:$L$45,Rewards!$J$3:$J$45,H$4,Rewards!$K$3:$K$45,H55)+SUMIFS(Rewards!$L$3:$L$45,Rewards!$J$3:$J$45,I$4,Rewards!$K$3:$K$45,I55)+SUMIFS(Rewards!$L$3:$L$45,Rewards!$J$3:$J$45,J$4,Rewards!$K$3:$K$45,J55)+SUMIFS(Rewards!$L$3:$L$45,Rewards!$J$3:$J$45,K$4,Rewards!$K$3:$K$45,K55)+SUMIFS(Rewards!$L$3:$L$45,Rewards!$J$3:$J$45,L$4,Rewards!$K$3:$K$45,L55)+SUMIFS(Rewards!$L$3:$L$45,Rewards!$J$3:$J$45,M$4,Rewards!$K$3:$K$45,M55)+SUMIFS(Rewards!$L$3:$L$45,Rewards!$J$3:$J$45,N$4,Rewards!$K$3:$K$45,N55)</f>
        <v>0</v>
      </c>
      <c r="P55" s="82">
        <f t="shared" si="5"/>
        <v>0</v>
      </c>
      <c r="T55" s="73" t="s">
        <v>102</v>
      </c>
      <c r="U55" s="68">
        <f t="shared" ref="U55:AA64" si="7">COUNTIF($B55:$N55,U$4)</f>
        <v>0</v>
      </c>
      <c r="V55" s="68">
        <f t="shared" si="7"/>
        <v>0</v>
      </c>
      <c r="W55" s="68">
        <f t="shared" si="7"/>
        <v>0</v>
      </c>
      <c r="X55" s="68">
        <f t="shared" si="7"/>
        <v>0</v>
      </c>
      <c r="Y55" s="68">
        <f t="shared" si="7"/>
        <v>0</v>
      </c>
      <c r="Z55" s="68">
        <f t="shared" si="7"/>
        <v>0</v>
      </c>
      <c r="AA55" s="69">
        <f t="shared" si="7"/>
        <v>0</v>
      </c>
    </row>
    <row r="56" spans="1:27" ht="17.55" customHeight="1">
      <c r="A56" s="50" t="s">
        <v>103</v>
      </c>
      <c r="B56" s="4"/>
      <c r="C56" s="4"/>
      <c r="D56" s="4"/>
      <c r="E56" s="4"/>
      <c r="F56" s="4"/>
      <c r="G56" s="4"/>
      <c r="H56" s="4"/>
      <c r="I56" s="4"/>
      <c r="J56" s="4"/>
      <c r="K56" s="4"/>
      <c r="L56" s="4"/>
      <c r="M56" s="4"/>
      <c r="N56" s="57"/>
      <c r="O56" s="53">
        <f>SUMIFS(Rewards!$L$3:$L$45,Rewards!$J$3:$J$45,B$4,Rewards!$K$3:$K$45,B56)+SUMIFS(Rewards!$L$3:$L$45,Rewards!$J$3:$J$45,C$4,Rewards!$K$3:$K$45,C56)+SUMIFS(Rewards!$L$3:$L$45,Rewards!$J$3:$J$45,D$4,Rewards!$K$3:$K$45,D56)+SUMIFS(Rewards!$L$3:$L$45,Rewards!$J$3:$J$45,E$4,Rewards!$K$3:$K$45,E56)+SUMIFS(Rewards!$L$3:$L$45,Rewards!$J$3:$J$45,F$4,Rewards!$K$3:$K$45,F56)+SUMIFS(Rewards!$L$3:$L$45,Rewards!$J$3:$J$45,G$4,Rewards!$K$3:$K$45,G56)+SUMIFS(Rewards!$L$3:$L$45,Rewards!$J$3:$J$45,H$4,Rewards!$K$3:$K$45,H56)+SUMIFS(Rewards!$L$3:$L$45,Rewards!$J$3:$J$45,I$4,Rewards!$K$3:$K$45,I56)+SUMIFS(Rewards!$L$3:$L$45,Rewards!$J$3:$J$45,J$4,Rewards!$K$3:$K$45,J56)+SUMIFS(Rewards!$L$3:$L$45,Rewards!$J$3:$J$45,K$4,Rewards!$K$3:$K$45,K56)+SUMIFS(Rewards!$L$3:$L$45,Rewards!$J$3:$J$45,L$4,Rewards!$K$3:$K$45,L56)+SUMIFS(Rewards!$L$3:$L$45,Rewards!$J$3:$J$45,M$4,Rewards!$K$3:$K$45,M56)+SUMIFS(Rewards!$L$3:$L$45,Rewards!$J$3:$J$45,N$4,Rewards!$K$3:$K$45,N56)</f>
        <v>0</v>
      </c>
      <c r="P56" s="82">
        <f t="shared" si="5"/>
        <v>0</v>
      </c>
      <c r="T56" s="73" t="s">
        <v>103</v>
      </c>
      <c r="U56" s="68">
        <f t="shared" si="7"/>
        <v>0</v>
      </c>
      <c r="V56" s="68">
        <f t="shared" si="7"/>
        <v>0</v>
      </c>
      <c r="W56" s="68">
        <f t="shared" si="7"/>
        <v>0</v>
      </c>
      <c r="X56" s="68">
        <f t="shared" si="7"/>
        <v>0</v>
      </c>
      <c r="Y56" s="68">
        <f t="shared" si="7"/>
        <v>0</v>
      </c>
      <c r="Z56" s="68">
        <f t="shared" si="7"/>
        <v>0</v>
      </c>
      <c r="AA56" s="69">
        <f t="shared" si="7"/>
        <v>0</v>
      </c>
    </row>
    <row r="57" spans="1:27" ht="17.55" customHeight="1">
      <c r="A57" s="50" t="s">
        <v>104</v>
      </c>
      <c r="B57" s="4"/>
      <c r="C57" s="4"/>
      <c r="D57" s="4"/>
      <c r="E57" s="4"/>
      <c r="F57" s="4"/>
      <c r="G57" s="4"/>
      <c r="H57" s="4"/>
      <c r="I57" s="4"/>
      <c r="J57" s="4"/>
      <c r="K57" s="4"/>
      <c r="L57" s="4"/>
      <c r="M57" s="4"/>
      <c r="N57" s="57"/>
      <c r="O57" s="53">
        <f>SUMIFS(Rewards!$L$3:$L$45,Rewards!$J$3:$J$45,B$4,Rewards!$K$3:$K$45,B57)+SUMIFS(Rewards!$L$3:$L$45,Rewards!$J$3:$J$45,C$4,Rewards!$K$3:$K$45,C57)+SUMIFS(Rewards!$L$3:$L$45,Rewards!$J$3:$J$45,D$4,Rewards!$K$3:$K$45,D57)+SUMIFS(Rewards!$L$3:$L$45,Rewards!$J$3:$J$45,E$4,Rewards!$K$3:$K$45,E57)+SUMIFS(Rewards!$L$3:$L$45,Rewards!$J$3:$J$45,F$4,Rewards!$K$3:$K$45,F57)+SUMIFS(Rewards!$L$3:$L$45,Rewards!$J$3:$J$45,G$4,Rewards!$K$3:$K$45,G57)+SUMIFS(Rewards!$L$3:$L$45,Rewards!$J$3:$J$45,H$4,Rewards!$K$3:$K$45,H57)+SUMIFS(Rewards!$L$3:$L$45,Rewards!$J$3:$J$45,I$4,Rewards!$K$3:$K$45,I57)+SUMIFS(Rewards!$L$3:$L$45,Rewards!$J$3:$J$45,J$4,Rewards!$K$3:$K$45,J57)+SUMIFS(Rewards!$L$3:$L$45,Rewards!$J$3:$J$45,K$4,Rewards!$K$3:$K$45,K57)+SUMIFS(Rewards!$L$3:$L$45,Rewards!$J$3:$J$45,L$4,Rewards!$K$3:$K$45,L57)+SUMIFS(Rewards!$L$3:$L$45,Rewards!$J$3:$J$45,M$4,Rewards!$K$3:$K$45,M57)+SUMIFS(Rewards!$L$3:$L$45,Rewards!$J$3:$J$45,N$4,Rewards!$K$3:$K$45,N57)</f>
        <v>0</v>
      </c>
      <c r="P57" s="82">
        <f t="shared" si="5"/>
        <v>0</v>
      </c>
      <c r="T57" s="73" t="s">
        <v>104</v>
      </c>
      <c r="U57" s="68">
        <f t="shared" si="7"/>
        <v>0</v>
      </c>
      <c r="V57" s="68">
        <f t="shared" si="7"/>
        <v>0</v>
      </c>
      <c r="W57" s="68">
        <f t="shared" si="7"/>
        <v>0</v>
      </c>
      <c r="X57" s="68">
        <f t="shared" si="7"/>
        <v>0</v>
      </c>
      <c r="Y57" s="68">
        <f t="shared" si="7"/>
        <v>0</v>
      </c>
      <c r="Z57" s="68">
        <f t="shared" si="7"/>
        <v>0</v>
      </c>
      <c r="AA57" s="69">
        <f t="shared" si="7"/>
        <v>0</v>
      </c>
    </row>
    <row r="58" spans="1:27" ht="17.55" customHeight="1">
      <c r="A58" s="50" t="s">
        <v>105</v>
      </c>
      <c r="B58" s="4"/>
      <c r="C58" s="4"/>
      <c r="D58" s="4"/>
      <c r="E58" s="4"/>
      <c r="F58" s="4"/>
      <c r="G58" s="4"/>
      <c r="H58" s="4"/>
      <c r="I58" s="4"/>
      <c r="J58" s="4"/>
      <c r="K58" s="4"/>
      <c r="L58" s="4"/>
      <c r="M58" s="4"/>
      <c r="N58" s="57"/>
      <c r="O58" s="53">
        <f>SUMIFS(Rewards!$L$3:$L$45,Rewards!$J$3:$J$45,B$4,Rewards!$K$3:$K$45,B58)+SUMIFS(Rewards!$L$3:$L$45,Rewards!$J$3:$J$45,C$4,Rewards!$K$3:$K$45,C58)+SUMIFS(Rewards!$L$3:$L$45,Rewards!$J$3:$J$45,D$4,Rewards!$K$3:$K$45,D58)+SUMIFS(Rewards!$L$3:$L$45,Rewards!$J$3:$J$45,E$4,Rewards!$K$3:$K$45,E58)+SUMIFS(Rewards!$L$3:$L$45,Rewards!$J$3:$J$45,F$4,Rewards!$K$3:$K$45,F58)+SUMIFS(Rewards!$L$3:$L$45,Rewards!$J$3:$J$45,G$4,Rewards!$K$3:$K$45,G58)+SUMIFS(Rewards!$L$3:$L$45,Rewards!$J$3:$J$45,H$4,Rewards!$K$3:$K$45,H58)+SUMIFS(Rewards!$L$3:$L$45,Rewards!$J$3:$J$45,I$4,Rewards!$K$3:$K$45,I58)+SUMIFS(Rewards!$L$3:$L$45,Rewards!$J$3:$J$45,J$4,Rewards!$K$3:$K$45,J58)+SUMIFS(Rewards!$L$3:$L$45,Rewards!$J$3:$J$45,K$4,Rewards!$K$3:$K$45,K58)+SUMIFS(Rewards!$L$3:$L$45,Rewards!$J$3:$J$45,L$4,Rewards!$K$3:$K$45,L58)+SUMIFS(Rewards!$L$3:$L$45,Rewards!$J$3:$J$45,M$4,Rewards!$K$3:$K$45,M58)+SUMIFS(Rewards!$L$3:$L$45,Rewards!$J$3:$J$45,N$4,Rewards!$K$3:$K$45,N58)</f>
        <v>0</v>
      </c>
      <c r="P58" s="82">
        <f t="shared" si="5"/>
        <v>0</v>
      </c>
      <c r="T58" s="73" t="s">
        <v>105</v>
      </c>
      <c r="U58" s="68">
        <f t="shared" si="7"/>
        <v>0</v>
      </c>
      <c r="V58" s="68">
        <f t="shared" si="7"/>
        <v>0</v>
      </c>
      <c r="W58" s="68">
        <f t="shared" si="7"/>
        <v>0</v>
      </c>
      <c r="X58" s="68">
        <f t="shared" si="7"/>
        <v>0</v>
      </c>
      <c r="Y58" s="68">
        <f t="shared" si="7"/>
        <v>0</v>
      </c>
      <c r="Z58" s="68">
        <f t="shared" si="7"/>
        <v>0</v>
      </c>
      <c r="AA58" s="69">
        <f t="shared" si="7"/>
        <v>0</v>
      </c>
    </row>
    <row r="59" spans="1:27" ht="17.55" customHeight="1">
      <c r="A59" s="50" t="s">
        <v>106</v>
      </c>
      <c r="B59" s="4"/>
      <c r="C59" s="4"/>
      <c r="D59" s="4"/>
      <c r="E59" s="4"/>
      <c r="F59" s="4"/>
      <c r="G59" s="4"/>
      <c r="H59" s="4"/>
      <c r="I59" s="4"/>
      <c r="J59" s="4"/>
      <c r="K59" s="4"/>
      <c r="L59" s="4"/>
      <c r="M59" s="4"/>
      <c r="N59" s="57"/>
      <c r="O59" s="53">
        <f>SUMIFS(Rewards!$L$3:$L$45,Rewards!$J$3:$J$45,B$4,Rewards!$K$3:$K$45,B59)+SUMIFS(Rewards!$L$3:$L$45,Rewards!$J$3:$J$45,C$4,Rewards!$K$3:$K$45,C59)+SUMIFS(Rewards!$L$3:$L$45,Rewards!$J$3:$J$45,D$4,Rewards!$K$3:$K$45,D59)+SUMIFS(Rewards!$L$3:$L$45,Rewards!$J$3:$J$45,E$4,Rewards!$K$3:$K$45,E59)+SUMIFS(Rewards!$L$3:$L$45,Rewards!$J$3:$J$45,F$4,Rewards!$K$3:$K$45,F59)+SUMIFS(Rewards!$L$3:$L$45,Rewards!$J$3:$J$45,G$4,Rewards!$K$3:$K$45,G59)+SUMIFS(Rewards!$L$3:$L$45,Rewards!$J$3:$J$45,H$4,Rewards!$K$3:$K$45,H59)+SUMIFS(Rewards!$L$3:$L$45,Rewards!$J$3:$J$45,I$4,Rewards!$K$3:$K$45,I59)+SUMIFS(Rewards!$L$3:$L$45,Rewards!$J$3:$J$45,J$4,Rewards!$K$3:$K$45,J59)+SUMIFS(Rewards!$L$3:$L$45,Rewards!$J$3:$J$45,K$4,Rewards!$K$3:$K$45,K59)+SUMIFS(Rewards!$L$3:$L$45,Rewards!$J$3:$J$45,L$4,Rewards!$K$3:$K$45,L59)+SUMIFS(Rewards!$L$3:$L$45,Rewards!$J$3:$J$45,M$4,Rewards!$K$3:$K$45,M59)+SUMIFS(Rewards!$L$3:$L$45,Rewards!$J$3:$J$45,N$4,Rewards!$K$3:$K$45,N59)</f>
        <v>0</v>
      </c>
      <c r="P59" s="82">
        <f t="shared" si="5"/>
        <v>0</v>
      </c>
      <c r="T59" s="73" t="s">
        <v>106</v>
      </c>
      <c r="U59" s="68">
        <f t="shared" si="7"/>
        <v>0</v>
      </c>
      <c r="V59" s="68">
        <f t="shared" si="7"/>
        <v>0</v>
      </c>
      <c r="W59" s="68">
        <f t="shared" si="7"/>
        <v>0</v>
      </c>
      <c r="X59" s="68">
        <f t="shared" si="7"/>
        <v>0</v>
      </c>
      <c r="Y59" s="68">
        <f t="shared" si="7"/>
        <v>0</v>
      </c>
      <c r="Z59" s="68">
        <f t="shared" si="7"/>
        <v>0</v>
      </c>
      <c r="AA59" s="69">
        <f t="shared" si="7"/>
        <v>0</v>
      </c>
    </row>
    <row r="60" spans="1:27" ht="17.55" customHeight="1">
      <c r="A60" s="50" t="s">
        <v>107</v>
      </c>
      <c r="B60" s="4"/>
      <c r="C60" s="4"/>
      <c r="D60" s="4"/>
      <c r="E60" s="4"/>
      <c r="F60" s="4"/>
      <c r="G60" s="4"/>
      <c r="H60" s="4"/>
      <c r="I60" s="4"/>
      <c r="J60" s="4"/>
      <c r="K60" s="4"/>
      <c r="L60" s="4"/>
      <c r="M60" s="4"/>
      <c r="N60" s="57"/>
      <c r="O60" s="53">
        <f>SUMIFS(Rewards!$L$3:$L$45,Rewards!$J$3:$J$45,B$4,Rewards!$K$3:$K$45,B60)+SUMIFS(Rewards!$L$3:$L$45,Rewards!$J$3:$J$45,C$4,Rewards!$K$3:$K$45,C60)+SUMIFS(Rewards!$L$3:$L$45,Rewards!$J$3:$J$45,D$4,Rewards!$K$3:$K$45,D60)+SUMIFS(Rewards!$L$3:$L$45,Rewards!$J$3:$J$45,E$4,Rewards!$K$3:$K$45,E60)+SUMIFS(Rewards!$L$3:$L$45,Rewards!$J$3:$J$45,F$4,Rewards!$K$3:$K$45,F60)+SUMIFS(Rewards!$L$3:$L$45,Rewards!$J$3:$J$45,G$4,Rewards!$K$3:$K$45,G60)+SUMIFS(Rewards!$L$3:$L$45,Rewards!$J$3:$J$45,H$4,Rewards!$K$3:$K$45,H60)+SUMIFS(Rewards!$L$3:$L$45,Rewards!$J$3:$J$45,I$4,Rewards!$K$3:$K$45,I60)+SUMIFS(Rewards!$L$3:$L$45,Rewards!$J$3:$J$45,J$4,Rewards!$K$3:$K$45,J60)+SUMIFS(Rewards!$L$3:$L$45,Rewards!$J$3:$J$45,K$4,Rewards!$K$3:$K$45,K60)+SUMIFS(Rewards!$L$3:$L$45,Rewards!$J$3:$J$45,L$4,Rewards!$K$3:$K$45,L60)+SUMIFS(Rewards!$L$3:$L$45,Rewards!$J$3:$J$45,M$4,Rewards!$K$3:$K$45,M60)+SUMIFS(Rewards!$L$3:$L$45,Rewards!$J$3:$J$45,N$4,Rewards!$K$3:$K$45,N60)</f>
        <v>0</v>
      </c>
      <c r="P60" s="82">
        <f t="shared" si="5"/>
        <v>0</v>
      </c>
      <c r="T60" s="73" t="s">
        <v>107</v>
      </c>
      <c r="U60" s="68">
        <f t="shared" si="7"/>
        <v>0</v>
      </c>
      <c r="V60" s="68">
        <f t="shared" si="7"/>
        <v>0</v>
      </c>
      <c r="W60" s="68">
        <f t="shared" si="7"/>
        <v>0</v>
      </c>
      <c r="X60" s="68">
        <f t="shared" si="7"/>
        <v>0</v>
      </c>
      <c r="Y60" s="68">
        <f t="shared" si="7"/>
        <v>0</v>
      </c>
      <c r="Z60" s="68">
        <f t="shared" si="7"/>
        <v>0</v>
      </c>
      <c r="AA60" s="69">
        <f t="shared" si="7"/>
        <v>0</v>
      </c>
    </row>
    <row r="61" spans="1:27" ht="17.55" customHeight="1">
      <c r="A61" s="50" t="s">
        <v>108</v>
      </c>
      <c r="B61" s="4"/>
      <c r="C61" s="4"/>
      <c r="D61" s="4"/>
      <c r="E61" s="4"/>
      <c r="F61" s="4"/>
      <c r="G61" s="4"/>
      <c r="H61" s="4"/>
      <c r="I61" s="4"/>
      <c r="J61" s="4"/>
      <c r="K61" s="4"/>
      <c r="L61" s="4"/>
      <c r="M61" s="4"/>
      <c r="N61" s="57"/>
      <c r="O61" s="53">
        <f>SUMIFS(Rewards!$L$3:$L$45,Rewards!$J$3:$J$45,B$4,Rewards!$K$3:$K$45,B61)+SUMIFS(Rewards!$L$3:$L$45,Rewards!$J$3:$J$45,C$4,Rewards!$K$3:$K$45,C61)+SUMIFS(Rewards!$L$3:$L$45,Rewards!$J$3:$J$45,D$4,Rewards!$K$3:$K$45,D61)+SUMIFS(Rewards!$L$3:$L$45,Rewards!$J$3:$J$45,E$4,Rewards!$K$3:$K$45,E61)+SUMIFS(Rewards!$L$3:$L$45,Rewards!$J$3:$J$45,F$4,Rewards!$K$3:$K$45,F61)+SUMIFS(Rewards!$L$3:$L$45,Rewards!$J$3:$J$45,G$4,Rewards!$K$3:$K$45,G61)+SUMIFS(Rewards!$L$3:$L$45,Rewards!$J$3:$J$45,H$4,Rewards!$K$3:$K$45,H61)+SUMIFS(Rewards!$L$3:$L$45,Rewards!$J$3:$J$45,I$4,Rewards!$K$3:$K$45,I61)+SUMIFS(Rewards!$L$3:$L$45,Rewards!$J$3:$J$45,J$4,Rewards!$K$3:$K$45,J61)+SUMIFS(Rewards!$L$3:$L$45,Rewards!$J$3:$J$45,K$4,Rewards!$K$3:$K$45,K61)+SUMIFS(Rewards!$L$3:$L$45,Rewards!$J$3:$J$45,L$4,Rewards!$K$3:$K$45,L61)+SUMIFS(Rewards!$L$3:$L$45,Rewards!$J$3:$J$45,M$4,Rewards!$K$3:$K$45,M61)+SUMIFS(Rewards!$L$3:$L$45,Rewards!$J$3:$J$45,N$4,Rewards!$K$3:$K$45,N61)</f>
        <v>0</v>
      </c>
      <c r="P61" s="82">
        <f t="shared" si="5"/>
        <v>0</v>
      </c>
      <c r="T61" s="73" t="s">
        <v>108</v>
      </c>
      <c r="U61" s="68">
        <f t="shared" si="7"/>
        <v>0</v>
      </c>
      <c r="V61" s="68">
        <f t="shared" si="7"/>
        <v>0</v>
      </c>
      <c r="W61" s="68">
        <f t="shared" si="7"/>
        <v>0</v>
      </c>
      <c r="X61" s="68">
        <f t="shared" si="7"/>
        <v>0</v>
      </c>
      <c r="Y61" s="68">
        <f t="shared" si="7"/>
        <v>0</v>
      </c>
      <c r="Z61" s="68">
        <f t="shared" si="7"/>
        <v>0</v>
      </c>
      <c r="AA61" s="69">
        <f t="shared" si="7"/>
        <v>0</v>
      </c>
    </row>
    <row r="62" spans="1:27" ht="17.55" customHeight="1">
      <c r="A62" s="50" t="s">
        <v>109</v>
      </c>
      <c r="B62" s="4"/>
      <c r="C62" s="4"/>
      <c r="D62" s="4"/>
      <c r="E62" s="4"/>
      <c r="F62" s="4"/>
      <c r="G62" s="4"/>
      <c r="H62" s="4"/>
      <c r="I62" s="4"/>
      <c r="J62" s="4"/>
      <c r="K62" s="4"/>
      <c r="L62" s="4"/>
      <c r="M62" s="4"/>
      <c r="N62" s="57"/>
      <c r="O62" s="53">
        <f>SUMIFS(Rewards!$L$3:$L$45,Rewards!$J$3:$J$45,B$4,Rewards!$K$3:$K$45,B62)+SUMIFS(Rewards!$L$3:$L$45,Rewards!$J$3:$J$45,C$4,Rewards!$K$3:$K$45,C62)+SUMIFS(Rewards!$L$3:$L$45,Rewards!$J$3:$J$45,D$4,Rewards!$K$3:$K$45,D62)+SUMIFS(Rewards!$L$3:$L$45,Rewards!$J$3:$J$45,E$4,Rewards!$K$3:$K$45,E62)+SUMIFS(Rewards!$L$3:$L$45,Rewards!$J$3:$J$45,F$4,Rewards!$K$3:$K$45,F62)+SUMIFS(Rewards!$L$3:$L$45,Rewards!$J$3:$J$45,G$4,Rewards!$K$3:$K$45,G62)+SUMIFS(Rewards!$L$3:$L$45,Rewards!$J$3:$J$45,H$4,Rewards!$K$3:$K$45,H62)+SUMIFS(Rewards!$L$3:$L$45,Rewards!$J$3:$J$45,I$4,Rewards!$K$3:$K$45,I62)+SUMIFS(Rewards!$L$3:$L$45,Rewards!$J$3:$J$45,J$4,Rewards!$K$3:$K$45,J62)+SUMIFS(Rewards!$L$3:$L$45,Rewards!$J$3:$J$45,K$4,Rewards!$K$3:$K$45,K62)+SUMIFS(Rewards!$L$3:$L$45,Rewards!$J$3:$J$45,L$4,Rewards!$K$3:$K$45,L62)+SUMIFS(Rewards!$L$3:$L$45,Rewards!$J$3:$J$45,M$4,Rewards!$K$3:$K$45,M62)+SUMIFS(Rewards!$L$3:$L$45,Rewards!$J$3:$J$45,N$4,Rewards!$K$3:$K$45,N62)</f>
        <v>0</v>
      </c>
      <c r="P62" s="82">
        <f t="shared" si="5"/>
        <v>0</v>
      </c>
      <c r="T62" s="73" t="s">
        <v>109</v>
      </c>
      <c r="U62" s="68">
        <f t="shared" si="7"/>
        <v>0</v>
      </c>
      <c r="V62" s="68">
        <f t="shared" si="7"/>
        <v>0</v>
      </c>
      <c r="W62" s="68">
        <f t="shared" si="7"/>
        <v>0</v>
      </c>
      <c r="X62" s="68">
        <f t="shared" si="7"/>
        <v>0</v>
      </c>
      <c r="Y62" s="68">
        <f t="shared" si="7"/>
        <v>0</v>
      </c>
      <c r="Z62" s="68">
        <f t="shared" si="7"/>
        <v>0</v>
      </c>
      <c r="AA62" s="69">
        <f t="shared" si="7"/>
        <v>0</v>
      </c>
    </row>
    <row r="63" spans="1:27" ht="17.55" customHeight="1">
      <c r="A63" s="50" t="s">
        <v>110</v>
      </c>
      <c r="B63" s="4"/>
      <c r="C63" s="4"/>
      <c r="D63" s="4"/>
      <c r="E63" s="4"/>
      <c r="F63" s="4"/>
      <c r="G63" s="4"/>
      <c r="H63" s="4"/>
      <c r="I63" s="4"/>
      <c r="J63" s="4"/>
      <c r="K63" s="4"/>
      <c r="L63" s="4"/>
      <c r="M63" s="4"/>
      <c r="N63" s="57"/>
      <c r="O63" s="53">
        <f>SUMIFS(Rewards!$L$3:$L$45,Rewards!$J$3:$J$45,B$4,Rewards!$K$3:$K$45,B63)+SUMIFS(Rewards!$L$3:$L$45,Rewards!$J$3:$J$45,C$4,Rewards!$K$3:$K$45,C63)+SUMIFS(Rewards!$L$3:$L$45,Rewards!$J$3:$J$45,D$4,Rewards!$K$3:$K$45,D63)+SUMIFS(Rewards!$L$3:$L$45,Rewards!$J$3:$J$45,E$4,Rewards!$K$3:$K$45,E63)+SUMIFS(Rewards!$L$3:$L$45,Rewards!$J$3:$J$45,F$4,Rewards!$K$3:$K$45,F63)+SUMIFS(Rewards!$L$3:$L$45,Rewards!$J$3:$J$45,G$4,Rewards!$K$3:$K$45,G63)+SUMIFS(Rewards!$L$3:$L$45,Rewards!$J$3:$J$45,H$4,Rewards!$K$3:$K$45,H63)+SUMIFS(Rewards!$L$3:$L$45,Rewards!$J$3:$J$45,I$4,Rewards!$K$3:$K$45,I63)+SUMIFS(Rewards!$L$3:$L$45,Rewards!$J$3:$J$45,J$4,Rewards!$K$3:$K$45,J63)+SUMIFS(Rewards!$L$3:$L$45,Rewards!$J$3:$J$45,K$4,Rewards!$K$3:$K$45,K63)+SUMIFS(Rewards!$L$3:$L$45,Rewards!$J$3:$J$45,L$4,Rewards!$K$3:$K$45,L63)+SUMIFS(Rewards!$L$3:$L$45,Rewards!$J$3:$J$45,M$4,Rewards!$K$3:$K$45,M63)+SUMIFS(Rewards!$L$3:$L$45,Rewards!$J$3:$J$45,N$4,Rewards!$K$3:$K$45,N63)</f>
        <v>0</v>
      </c>
      <c r="P63" s="82">
        <f t="shared" si="5"/>
        <v>0</v>
      </c>
      <c r="T63" s="73" t="s">
        <v>110</v>
      </c>
      <c r="U63" s="68">
        <f t="shared" si="7"/>
        <v>0</v>
      </c>
      <c r="V63" s="68">
        <f t="shared" si="7"/>
        <v>0</v>
      </c>
      <c r="W63" s="68">
        <f t="shared" si="7"/>
        <v>0</v>
      </c>
      <c r="X63" s="68">
        <f t="shared" si="7"/>
        <v>0</v>
      </c>
      <c r="Y63" s="68">
        <f t="shared" si="7"/>
        <v>0</v>
      </c>
      <c r="Z63" s="68">
        <f t="shared" si="7"/>
        <v>0</v>
      </c>
      <c r="AA63" s="69">
        <f t="shared" si="7"/>
        <v>0</v>
      </c>
    </row>
    <row r="64" spans="1:27" ht="17.55" customHeight="1">
      <c r="A64" s="50" t="s">
        <v>111</v>
      </c>
      <c r="B64" s="4"/>
      <c r="C64" s="4"/>
      <c r="D64" s="4"/>
      <c r="E64" s="4"/>
      <c r="F64" s="4"/>
      <c r="G64" s="4"/>
      <c r="H64" s="4"/>
      <c r="I64" s="4"/>
      <c r="J64" s="4"/>
      <c r="K64" s="4"/>
      <c r="L64" s="4"/>
      <c r="M64" s="4"/>
      <c r="N64" s="57"/>
      <c r="O64" s="53">
        <f>SUMIFS(Rewards!$L$3:$L$45,Rewards!$J$3:$J$45,B$4,Rewards!$K$3:$K$45,B64)+SUMIFS(Rewards!$L$3:$L$45,Rewards!$J$3:$J$45,C$4,Rewards!$K$3:$K$45,C64)+SUMIFS(Rewards!$L$3:$L$45,Rewards!$J$3:$J$45,D$4,Rewards!$K$3:$K$45,D64)+SUMIFS(Rewards!$L$3:$L$45,Rewards!$J$3:$J$45,E$4,Rewards!$K$3:$K$45,E64)+SUMIFS(Rewards!$L$3:$L$45,Rewards!$J$3:$J$45,F$4,Rewards!$K$3:$K$45,F64)+SUMIFS(Rewards!$L$3:$L$45,Rewards!$J$3:$J$45,G$4,Rewards!$K$3:$K$45,G64)+SUMIFS(Rewards!$L$3:$L$45,Rewards!$J$3:$J$45,H$4,Rewards!$K$3:$K$45,H64)+SUMIFS(Rewards!$L$3:$L$45,Rewards!$J$3:$J$45,I$4,Rewards!$K$3:$K$45,I64)+SUMIFS(Rewards!$L$3:$L$45,Rewards!$J$3:$J$45,J$4,Rewards!$K$3:$K$45,J64)+SUMIFS(Rewards!$L$3:$L$45,Rewards!$J$3:$J$45,K$4,Rewards!$K$3:$K$45,K64)+SUMIFS(Rewards!$L$3:$L$45,Rewards!$J$3:$J$45,L$4,Rewards!$K$3:$K$45,L64)+SUMIFS(Rewards!$L$3:$L$45,Rewards!$J$3:$J$45,M$4,Rewards!$K$3:$K$45,M64)+SUMIFS(Rewards!$L$3:$L$45,Rewards!$J$3:$J$45,N$4,Rewards!$K$3:$K$45,N64)</f>
        <v>0</v>
      </c>
      <c r="P64" s="82">
        <f t="shared" si="5"/>
        <v>0</v>
      </c>
      <c r="T64" s="73" t="s">
        <v>111</v>
      </c>
      <c r="U64" s="68">
        <f t="shared" si="7"/>
        <v>0</v>
      </c>
      <c r="V64" s="68">
        <f t="shared" si="7"/>
        <v>0</v>
      </c>
      <c r="W64" s="68">
        <f t="shared" si="7"/>
        <v>0</v>
      </c>
      <c r="X64" s="68">
        <f t="shared" si="7"/>
        <v>0</v>
      </c>
      <c r="Y64" s="68">
        <f t="shared" si="7"/>
        <v>0</v>
      </c>
      <c r="Z64" s="68">
        <f t="shared" si="7"/>
        <v>0</v>
      </c>
      <c r="AA64" s="69">
        <f t="shared" si="7"/>
        <v>0</v>
      </c>
    </row>
    <row r="65" spans="1:27" ht="17.55" customHeight="1">
      <c r="A65" s="50" t="s">
        <v>112</v>
      </c>
      <c r="B65" s="4"/>
      <c r="C65" s="4"/>
      <c r="D65" s="4"/>
      <c r="E65" s="4"/>
      <c r="F65" s="4"/>
      <c r="G65" s="4"/>
      <c r="H65" s="4"/>
      <c r="I65" s="4"/>
      <c r="J65" s="4"/>
      <c r="K65" s="4"/>
      <c r="L65" s="4"/>
      <c r="M65" s="4"/>
      <c r="N65" s="57"/>
      <c r="O65" s="53">
        <f>SUMIFS(Rewards!$L$3:$L$45,Rewards!$J$3:$J$45,B$4,Rewards!$K$3:$K$45,B65)+SUMIFS(Rewards!$L$3:$L$45,Rewards!$J$3:$J$45,C$4,Rewards!$K$3:$K$45,C65)+SUMIFS(Rewards!$L$3:$L$45,Rewards!$J$3:$J$45,D$4,Rewards!$K$3:$K$45,D65)+SUMIFS(Rewards!$L$3:$L$45,Rewards!$J$3:$J$45,E$4,Rewards!$K$3:$K$45,E65)+SUMIFS(Rewards!$L$3:$L$45,Rewards!$J$3:$J$45,F$4,Rewards!$K$3:$K$45,F65)+SUMIFS(Rewards!$L$3:$L$45,Rewards!$J$3:$J$45,G$4,Rewards!$K$3:$K$45,G65)+SUMIFS(Rewards!$L$3:$L$45,Rewards!$J$3:$J$45,H$4,Rewards!$K$3:$K$45,H65)+SUMIFS(Rewards!$L$3:$L$45,Rewards!$J$3:$J$45,I$4,Rewards!$K$3:$K$45,I65)+SUMIFS(Rewards!$L$3:$L$45,Rewards!$J$3:$J$45,J$4,Rewards!$K$3:$K$45,J65)+SUMIFS(Rewards!$L$3:$L$45,Rewards!$J$3:$J$45,K$4,Rewards!$K$3:$K$45,K65)+SUMIFS(Rewards!$L$3:$L$45,Rewards!$J$3:$J$45,L$4,Rewards!$K$3:$K$45,L65)+SUMIFS(Rewards!$L$3:$L$45,Rewards!$J$3:$J$45,M$4,Rewards!$K$3:$K$45,M65)+SUMIFS(Rewards!$L$3:$L$45,Rewards!$J$3:$J$45,N$4,Rewards!$K$3:$K$45,N65)</f>
        <v>0</v>
      </c>
      <c r="P65" s="82">
        <f t="shared" si="5"/>
        <v>0</v>
      </c>
      <c r="T65" s="73" t="s">
        <v>112</v>
      </c>
      <c r="U65" s="68">
        <f t="shared" ref="U65:AA74" si="8">COUNTIF($B65:$N65,U$4)</f>
        <v>0</v>
      </c>
      <c r="V65" s="68">
        <f t="shared" si="8"/>
        <v>0</v>
      </c>
      <c r="W65" s="68">
        <f t="shared" si="8"/>
        <v>0</v>
      </c>
      <c r="X65" s="68">
        <f t="shared" si="8"/>
        <v>0</v>
      </c>
      <c r="Y65" s="68">
        <f t="shared" si="8"/>
        <v>0</v>
      </c>
      <c r="Z65" s="68">
        <f t="shared" si="8"/>
        <v>0</v>
      </c>
      <c r="AA65" s="69">
        <f t="shared" si="8"/>
        <v>0</v>
      </c>
    </row>
    <row r="66" spans="1:27" ht="17.55" customHeight="1">
      <c r="A66" s="50" t="s">
        <v>113</v>
      </c>
      <c r="B66" s="4"/>
      <c r="C66" s="4"/>
      <c r="D66" s="4"/>
      <c r="E66" s="4"/>
      <c r="F66" s="4"/>
      <c r="G66" s="4"/>
      <c r="H66" s="4"/>
      <c r="I66" s="4"/>
      <c r="J66" s="4"/>
      <c r="K66" s="4"/>
      <c r="L66" s="4"/>
      <c r="M66" s="4"/>
      <c r="N66" s="57"/>
      <c r="O66" s="53">
        <f>SUMIFS(Rewards!$L$3:$L$45,Rewards!$J$3:$J$45,B$4,Rewards!$K$3:$K$45,B66)+SUMIFS(Rewards!$L$3:$L$45,Rewards!$J$3:$J$45,C$4,Rewards!$K$3:$K$45,C66)+SUMIFS(Rewards!$L$3:$L$45,Rewards!$J$3:$J$45,D$4,Rewards!$K$3:$K$45,D66)+SUMIFS(Rewards!$L$3:$L$45,Rewards!$J$3:$J$45,E$4,Rewards!$K$3:$K$45,E66)+SUMIFS(Rewards!$L$3:$L$45,Rewards!$J$3:$J$45,F$4,Rewards!$K$3:$K$45,F66)+SUMIFS(Rewards!$L$3:$L$45,Rewards!$J$3:$J$45,G$4,Rewards!$K$3:$K$45,G66)+SUMIFS(Rewards!$L$3:$L$45,Rewards!$J$3:$J$45,H$4,Rewards!$K$3:$K$45,H66)+SUMIFS(Rewards!$L$3:$L$45,Rewards!$J$3:$J$45,I$4,Rewards!$K$3:$K$45,I66)+SUMIFS(Rewards!$L$3:$L$45,Rewards!$J$3:$J$45,J$4,Rewards!$K$3:$K$45,J66)+SUMIFS(Rewards!$L$3:$L$45,Rewards!$J$3:$J$45,K$4,Rewards!$K$3:$K$45,K66)+SUMIFS(Rewards!$L$3:$L$45,Rewards!$J$3:$J$45,L$4,Rewards!$K$3:$K$45,L66)+SUMIFS(Rewards!$L$3:$L$45,Rewards!$J$3:$J$45,M$4,Rewards!$K$3:$K$45,M66)+SUMIFS(Rewards!$L$3:$L$45,Rewards!$J$3:$J$45,N$4,Rewards!$K$3:$K$45,N66)</f>
        <v>0</v>
      </c>
      <c r="P66" s="82">
        <f t="shared" si="5"/>
        <v>0</v>
      </c>
      <c r="T66" s="73" t="s">
        <v>113</v>
      </c>
      <c r="U66" s="68">
        <f t="shared" si="8"/>
        <v>0</v>
      </c>
      <c r="V66" s="68">
        <f t="shared" si="8"/>
        <v>0</v>
      </c>
      <c r="W66" s="68">
        <f t="shared" si="8"/>
        <v>0</v>
      </c>
      <c r="X66" s="68">
        <f t="shared" si="8"/>
        <v>0</v>
      </c>
      <c r="Y66" s="68">
        <f t="shared" si="8"/>
        <v>0</v>
      </c>
      <c r="Z66" s="68">
        <f t="shared" si="8"/>
        <v>0</v>
      </c>
      <c r="AA66" s="69">
        <f t="shared" si="8"/>
        <v>0</v>
      </c>
    </row>
    <row r="67" spans="1:27" ht="17.55" customHeight="1">
      <c r="A67" s="50" t="s">
        <v>114</v>
      </c>
      <c r="B67" s="4"/>
      <c r="C67" s="4"/>
      <c r="D67" s="4"/>
      <c r="E67" s="4"/>
      <c r="F67" s="4"/>
      <c r="G67" s="4"/>
      <c r="H67" s="4"/>
      <c r="I67" s="4"/>
      <c r="J67" s="4"/>
      <c r="K67" s="4"/>
      <c r="L67" s="4"/>
      <c r="M67" s="4"/>
      <c r="N67" s="57"/>
      <c r="O67" s="53">
        <f>SUMIFS(Rewards!$L$3:$L$45,Rewards!$J$3:$J$45,B$4,Rewards!$K$3:$K$45,B67)+SUMIFS(Rewards!$L$3:$L$45,Rewards!$J$3:$J$45,C$4,Rewards!$K$3:$K$45,C67)+SUMIFS(Rewards!$L$3:$L$45,Rewards!$J$3:$J$45,D$4,Rewards!$K$3:$K$45,D67)+SUMIFS(Rewards!$L$3:$L$45,Rewards!$J$3:$J$45,E$4,Rewards!$K$3:$K$45,E67)+SUMIFS(Rewards!$L$3:$L$45,Rewards!$J$3:$J$45,F$4,Rewards!$K$3:$K$45,F67)+SUMIFS(Rewards!$L$3:$L$45,Rewards!$J$3:$J$45,G$4,Rewards!$K$3:$K$45,G67)+SUMIFS(Rewards!$L$3:$L$45,Rewards!$J$3:$J$45,H$4,Rewards!$K$3:$K$45,H67)+SUMIFS(Rewards!$L$3:$L$45,Rewards!$J$3:$J$45,I$4,Rewards!$K$3:$K$45,I67)+SUMIFS(Rewards!$L$3:$L$45,Rewards!$J$3:$J$45,J$4,Rewards!$K$3:$K$45,J67)+SUMIFS(Rewards!$L$3:$L$45,Rewards!$J$3:$J$45,K$4,Rewards!$K$3:$K$45,K67)+SUMIFS(Rewards!$L$3:$L$45,Rewards!$J$3:$J$45,L$4,Rewards!$K$3:$K$45,L67)+SUMIFS(Rewards!$L$3:$L$45,Rewards!$J$3:$J$45,M$4,Rewards!$K$3:$K$45,M67)+SUMIFS(Rewards!$L$3:$L$45,Rewards!$J$3:$J$45,N$4,Rewards!$K$3:$K$45,N67)</f>
        <v>0</v>
      </c>
      <c r="P67" s="82">
        <f t="shared" si="5"/>
        <v>0</v>
      </c>
      <c r="T67" s="73" t="s">
        <v>114</v>
      </c>
      <c r="U67" s="68">
        <f t="shared" si="8"/>
        <v>0</v>
      </c>
      <c r="V67" s="68">
        <f t="shared" si="8"/>
        <v>0</v>
      </c>
      <c r="W67" s="68">
        <f t="shared" si="8"/>
        <v>0</v>
      </c>
      <c r="X67" s="68">
        <f t="shared" si="8"/>
        <v>0</v>
      </c>
      <c r="Y67" s="68">
        <f t="shared" si="8"/>
        <v>0</v>
      </c>
      <c r="Z67" s="68">
        <f t="shared" si="8"/>
        <v>0</v>
      </c>
      <c r="AA67" s="69">
        <f t="shared" si="8"/>
        <v>0</v>
      </c>
    </row>
    <row r="68" spans="1:27" ht="17.55" customHeight="1">
      <c r="A68" s="50" t="s">
        <v>115</v>
      </c>
      <c r="B68" s="4"/>
      <c r="C68" s="4"/>
      <c r="D68" s="4"/>
      <c r="E68" s="4"/>
      <c r="F68" s="4"/>
      <c r="G68" s="4"/>
      <c r="H68" s="4"/>
      <c r="I68" s="4"/>
      <c r="J68" s="4"/>
      <c r="K68" s="4"/>
      <c r="L68" s="4"/>
      <c r="M68" s="4"/>
      <c r="N68" s="57"/>
      <c r="O68" s="53">
        <f>SUMIFS(Rewards!$L$3:$L$45,Rewards!$J$3:$J$45,B$4,Rewards!$K$3:$K$45,B68)+SUMIFS(Rewards!$L$3:$L$45,Rewards!$J$3:$J$45,C$4,Rewards!$K$3:$K$45,C68)+SUMIFS(Rewards!$L$3:$L$45,Rewards!$J$3:$J$45,D$4,Rewards!$K$3:$K$45,D68)+SUMIFS(Rewards!$L$3:$L$45,Rewards!$J$3:$J$45,E$4,Rewards!$K$3:$K$45,E68)+SUMIFS(Rewards!$L$3:$L$45,Rewards!$J$3:$J$45,F$4,Rewards!$K$3:$K$45,F68)+SUMIFS(Rewards!$L$3:$L$45,Rewards!$J$3:$J$45,G$4,Rewards!$K$3:$K$45,G68)+SUMIFS(Rewards!$L$3:$L$45,Rewards!$J$3:$J$45,H$4,Rewards!$K$3:$K$45,H68)+SUMIFS(Rewards!$L$3:$L$45,Rewards!$J$3:$J$45,I$4,Rewards!$K$3:$K$45,I68)+SUMIFS(Rewards!$L$3:$L$45,Rewards!$J$3:$J$45,J$4,Rewards!$K$3:$K$45,J68)+SUMIFS(Rewards!$L$3:$L$45,Rewards!$J$3:$J$45,K$4,Rewards!$K$3:$K$45,K68)+SUMIFS(Rewards!$L$3:$L$45,Rewards!$J$3:$J$45,L$4,Rewards!$K$3:$K$45,L68)+SUMIFS(Rewards!$L$3:$L$45,Rewards!$J$3:$J$45,M$4,Rewards!$K$3:$K$45,M68)+SUMIFS(Rewards!$L$3:$L$45,Rewards!$J$3:$J$45,N$4,Rewards!$K$3:$K$45,N68)</f>
        <v>0</v>
      </c>
      <c r="P68" s="82">
        <f t="shared" si="5"/>
        <v>0</v>
      </c>
      <c r="T68" s="73" t="s">
        <v>115</v>
      </c>
      <c r="U68" s="68">
        <f t="shared" si="8"/>
        <v>0</v>
      </c>
      <c r="V68" s="68">
        <f t="shared" si="8"/>
        <v>0</v>
      </c>
      <c r="W68" s="68">
        <f t="shared" si="8"/>
        <v>0</v>
      </c>
      <c r="X68" s="68">
        <f t="shared" si="8"/>
        <v>0</v>
      </c>
      <c r="Y68" s="68">
        <f t="shared" si="8"/>
        <v>0</v>
      </c>
      <c r="Z68" s="68">
        <f t="shared" si="8"/>
        <v>0</v>
      </c>
      <c r="AA68" s="69">
        <f t="shared" si="8"/>
        <v>0</v>
      </c>
    </row>
    <row r="69" spans="1:27" ht="17.55" customHeight="1">
      <c r="A69" s="50" t="s">
        <v>116</v>
      </c>
      <c r="B69" s="4"/>
      <c r="C69" s="4"/>
      <c r="D69" s="4"/>
      <c r="E69" s="4"/>
      <c r="F69" s="4"/>
      <c r="G69" s="4"/>
      <c r="H69" s="4"/>
      <c r="I69" s="4"/>
      <c r="J69" s="4"/>
      <c r="K69" s="4"/>
      <c r="L69" s="4"/>
      <c r="M69" s="4"/>
      <c r="N69" s="57"/>
      <c r="O69" s="53">
        <f>SUMIFS(Rewards!$L$3:$L$45,Rewards!$J$3:$J$45,B$4,Rewards!$K$3:$K$45,B69)+SUMIFS(Rewards!$L$3:$L$45,Rewards!$J$3:$J$45,C$4,Rewards!$K$3:$K$45,C69)+SUMIFS(Rewards!$L$3:$L$45,Rewards!$J$3:$J$45,D$4,Rewards!$K$3:$K$45,D69)+SUMIFS(Rewards!$L$3:$L$45,Rewards!$J$3:$J$45,E$4,Rewards!$K$3:$K$45,E69)+SUMIFS(Rewards!$L$3:$L$45,Rewards!$J$3:$J$45,F$4,Rewards!$K$3:$K$45,F69)+SUMIFS(Rewards!$L$3:$L$45,Rewards!$J$3:$J$45,G$4,Rewards!$K$3:$K$45,G69)+SUMIFS(Rewards!$L$3:$L$45,Rewards!$J$3:$J$45,H$4,Rewards!$K$3:$K$45,H69)+SUMIFS(Rewards!$L$3:$L$45,Rewards!$J$3:$J$45,I$4,Rewards!$K$3:$K$45,I69)+SUMIFS(Rewards!$L$3:$L$45,Rewards!$J$3:$J$45,J$4,Rewards!$K$3:$K$45,J69)+SUMIFS(Rewards!$L$3:$L$45,Rewards!$J$3:$J$45,K$4,Rewards!$K$3:$K$45,K69)+SUMIFS(Rewards!$L$3:$L$45,Rewards!$J$3:$J$45,L$4,Rewards!$K$3:$K$45,L69)+SUMIFS(Rewards!$L$3:$L$45,Rewards!$J$3:$J$45,M$4,Rewards!$K$3:$K$45,M69)+SUMIFS(Rewards!$L$3:$L$45,Rewards!$J$3:$J$45,N$4,Rewards!$K$3:$K$45,N69)</f>
        <v>0</v>
      </c>
      <c r="P69" s="82">
        <f t="shared" ref="P69:P104" si="9">IF($O69&lt;=20,0,IF($O69&lt;=45,2750,IF($O69&lt;=50,3750,IF($O69&lt;=65,6500,IF($O69&lt;=70,7500,"")))))</f>
        <v>0</v>
      </c>
      <c r="T69" s="73" t="s">
        <v>116</v>
      </c>
      <c r="U69" s="68">
        <f t="shared" si="8"/>
        <v>0</v>
      </c>
      <c r="V69" s="68">
        <f t="shared" si="8"/>
        <v>0</v>
      </c>
      <c r="W69" s="68">
        <f t="shared" si="8"/>
        <v>0</v>
      </c>
      <c r="X69" s="68">
        <f t="shared" si="8"/>
        <v>0</v>
      </c>
      <c r="Y69" s="68">
        <f t="shared" si="8"/>
        <v>0</v>
      </c>
      <c r="Z69" s="68">
        <f t="shared" si="8"/>
        <v>0</v>
      </c>
      <c r="AA69" s="69">
        <f t="shared" si="8"/>
        <v>0</v>
      </c>
    </row>
    <row r="70" spans="1:27" ht="17.55" customHeight="1">
      <c r="A70" s="50" t="s">
        <v>117</v>
      </c>
      <c r="B70" s="4"/>
      <c r="C70" s="4"/>
      <c r="D70" s="4"/>
      <c r="E70" s="4"/>
      <c r="F70" s="4"/>
      <c r="G70" s="4"/>
      <c r="H70" s="4"/>
      <c r="I70" s="4"/>
      <c r="J70" s="4"/>
      <c r="K70" s="4"/>
      <c r="L70" s="4"/>
      <c r="M70" s="4"/>
      <c r="N70" s="57"/>
      <c r="O70" s="53">
        <f>SUMIFS(Rewards!$L$3:$L$45,Rewards!$J$3:$J$45,B$4,Rewards!$K$3:$K$45,B70)+SUMIFS(Rewards!$L$3:$L$45,Rewards!$J$3:$J$45,C$4,Rewards!$K$3:$K$45,C70)+SUMIFS(Rewards!$L$3:$L$45,Rewards!$J$3:$J$45,D$4,Rewards!$K$3:$K$45,D70)+SUMIFS(Rewards!$L$3:$L$45,Rewards!$J$3:$J$45,E$4,Rewards!$K$3:$K$45,E70)+SUMIFS(Rewards!$L$3:$L$45,Rewards!$J$3:$J$45,F$4,Rewards!$K$3:$K$45,F70)+SUMIFS(Rewards!$L$3:$L$45,Rewards!$J$3:$J$45,G$4,Rewards!$K$3:$K$45,G70)+SUMIFS(Rewards!$L$3:$L$45,Rewards!$J$3:$J$45,H$4,Rewards!$K$3:$K$45,H70)+SUMIFS(Rewards!$L$3:$L$45,Rewards!$J$3:$J$45,I$4,Rewards!$K$3:$K$45,I70)+SUMIFS(Rewards!$L$3:$L$45,Rewards!$J$3:$J$45,J$4,Rewards!$K$3:$K$45,J70)+SUMIFS(Rewards!$L$3:$L$45,Rewards!$J$3:$J$45,K$4,Rewards!$K$3:$K$45,K70)+SUMIFS(Rewards!$L$3:$L$45,Rewards!$J$3:$J$45,L$4,Rewards!$K$3:$K$45,L70)+SUMIFS(Rewards!$L$3:$L$45,Rewards!$J$3:$J$45,M$4,Rewards!$K$3:$K$45,M70)+SUMIFS(Rewards!$L$3:$L$45,Rewards!$J$3:$J$45,N$4,Rewards!$K$3:$K$45,N70)</f>
        <v>0</v>
      </c>
      <c r="P70" s="82">
        <f t="shared" si="9"/>
        <v>0</v>
      </c>
      <c r="T70" s="73" t="s">
        <v>117</v>
      </c>
      <c r="U70" s="68">
        <f t="shared" si="8"/>
        <v>0</v>
      </c>
      <c r="V70" s="68">
        <f t="shared" si="8"/>
        <v>0</v>
      </c>
      <c r="W70" s="68">
        <f t="shared" si="8"/>
        <v>0</v>
      </c>
      <c r="X70" s="68">
        <f t="shared" si="8"/>
        <v>0</v>
      </c>
      <c r="Y70" s="68">
        <f t="shared" si="8"/>
        <v>0</v>
      </c>
      <c r="Z70" s="68">
        <f t="shared" si="8"/>
        <v>0</v>
      </c>
      <c r="AA70" s="69">
        <f t="shared" si="8"/>
        <v>0</v>
      </c>
    </row>
    <row r="71" spans="1:27" ht="17.55" customHeight="1">
      <c r="A71" s="50" t="s">
        <v>118</v>
      </c>
      <c r="B71" s="4"/>
      <c r="C71" s="4"/>
      <c r="D71" s="4"/>
      <c r="E71" s="4"/>
      <c r="F71" s="4"/>
      <c r="G71" s="4"/>
      <c r="H71" s="4"/>
      <c r="I71" s="4"/>
      <c r="J71" s="4"/>
      <c r="K71" s="4"/>
      <c r="L71" s="4"/>
      <c r="M71" s="4"/>
      <c r="N71" s="57"/>
      <c r="O71" s="53">
        <f>SUMIFS(Rewards!$L$3:$L$45,Rewards!$J$3:$J$45,B$4,Rewards!$K$3:$K$45,B71)+SUMIFS(Rewards!$L$3:$L$45,Rewards!$J$3:$J$45,C$4,Rewards!$K$3:$K$45,C71)+SUMIFS(Rewards!$L$3:$L$45,Rewards!$J$3:$J$45,D$4,Rewards!$K$3:$K$45,D71)+SUMIFS(Rewards!$L$3:$L$45,Rewards!$J$3:$J$45,E$4,Rewards!$K$3:$K$45,E71)+SUMIFS(Rewards!$L$3:$L$45,Rewards!$J$3:$J$45,F$4,Rewards!$K$3:$K$45,F71)+SUMIFS(Rewards!$L$3:$L$45,Rewards!$J$3:$J$45,G$4,Rewards!$K$3:$K$45,G71)+SUMIFS(Rewards!$L$3:$L$45,Rewards!$J$3:$J$45,H$4,Rewards!$K$3:$K$45,H71)+SUMIFS(Rewards!$L$3:$L$45,Rewards!$J$3:$J$45,I$4,Rewards!$K$3:$K$45,I71)+SUMIFS(Rewards!$L$3:$L$45,Rewards!$J$3:$J$45,J$4,Rewards!$K$3:$K$45,J71)+SUMIFS(Rewards!$L$3:$L$45,Rewards!$J$3:$J$45,K$4,Rewards!$K$3:$K$45,K71)+SUMIFS(Rewards!$L$3:$L$45,Rewards!$J$3:$J$45,L$4,Rewards!$K$3:$K$45,L71)+SUMIFS(Rewards!$L$3:$L$45,Rewards!$J$3:$J$45,M$4,Rewards!$K$3:$K$45,M71)+SUMIFS(Rewards!$L$3:$L$45,Rewards!$J$3:$J$45,N$4,Rewards!$K$3:$K$45,N71)</f>
        <v>0</v>
      </c>
      <c r="P71" s="82">
        <f t="shared" si="9"/>
        <v>0</v>
      </c>
      <c r="T71" s="73" t="s">
        <v>118</v>
      </c>
      <c r="U71" s="68">
        <f t="shared" si="8"/>
        <v>0</v>
      </c>
      <c r="V71" s="68">
        <f t="shared" si="8"/>
        <v>0</v>
      </c>
      <c r="W71" s="68">
        <f t="shared" si="8"/>
        <v>0</v>
      </c>
      <c r="X71" s="68">
        <f t="shared" si="8"/>
        <v>0</v>
      </c>
      <c r="Y71" s="68">
        <f t="shared" si="8"/>
        <v>0</v>
      </c>
      <c r="Z71" s="68">
        <f t="shared" si="8"/>
        <v>0</v>
      </c>
      <c r="AA71" s="69">
        <f t="shared" si="8"/>
        <v>0</v>
      </c>
    </row>
    <row r="72" spans="1:27" ht="17.55" customHeight="1">
      <c r="A72" s="50" t="s">
        <v>119</v>
      </c>
      <c r="B72" s="4"/>
      <c r="C72" s="4"/>
      <c r="D72" s="4"/>
      <c r="E72" s="4"/>
      <c r="F72" s="4"/>
      <c r="G72" s="4"/>
      <c r="H72" s="4"/>
      <c r="I72" s="4"/>
      <c r="J72" s="4"/>
      <c r="K72" s="4"/>
      <c r="L72" s="4"/>
      <c r="M72" s="4"/>
      <c r="N72" s="57"/>
      <c r="O72" s="53">
        <f>SUMIFS(Rewards!$L$3:$L$45,Rewards!$J$3:$J$45,B$4,Rewards!$K$3:$K$45,B72)+SUMIFS(Rewards!$L$3:$L$45,Rewards!$J$3:$J$45,C$4,Rewards!$K$3:$K$45,C72)+SUMIFS(Rewards!$L$3:$L$45,Rewards!$J$3:$J$45,D$4,Rewards!$K$3:$K$45,D72)+SUMIFS(Rewards!$L$3:$L$45,Rewards!$J$3:$J$45,E$4,Rewards!$K$3:$K$45,E72)+SUMIFS(Rewards!$L$3:$L$45,Rewards!$J$3:$J$45,F$4,Rewards!$K$3:$K$45,F72)+SUMIFS(Rewards!$L$3:$L$45,Rewards!$J$3:$J$45,G$4,Rewards!$K$3:$K$45,G72)+SUMIFS(Rewards!$L$3:$L$45,Rewards!$J$3:$J$45,H$4,Rewards!$K$3:$K$45,H72)+SUMIFS(Rewards!$L$3:$L$45,Rewards!$J$3:$J$45,I$4,Rewards!$K$3:$K$45,I72)+SUMIFS(Rewards!$L$3:$L$45,Rewards!$J$3:$J$45,J$4,Rewards!$K$3:$K$45,J72)+SUMIFS(Rewards!$L$3:$L$45,Rewards!$J$3:$J$45,K$4,Rewards!$K$3:$K$45,K72)+SUMIFS(Rewards!$L$3:$L$45,Rewards!$J$3:$J$45,L$4,Rewards!$K$3:$K$45,L72)+SUMIFS(Rewards!$L$3:$L$45,Rewards!$J$3:$J$45,M$4,Rewards!$K$3:$K$45,M72)+SUMIFS(Rewards!$L$3:$L$45,Rewards!$J$3:$J$45,N$4,Rewards!$K$3:$K$45,N72)</f>
        <v>0</v>
      </c>
      <c r="P72" s="82">
        <f t="shared" si="9"/>
        <v>0</v>
      </c>
      <c r="T72" s="73" t="s">
        <v>119</v>
      </c>
      <c r="U72" s="68">
        <f t="shared" si="8"/>
        <v>0</v>
      </c>
      <c r="V72" s="68">
        <f t="shared" si="8"/>
        <v>0</v>
      </c>
      <c r="W72" s="68">
        <f t="shared" si="8"/>
        <v>0</v>
      </c>
      <c r="X72" s="68">
        <f t="shared" si="8"/>
        <v>0</v>
      </c>
      <c r="Y72" s="68">
        <f t="shared" si="8"/>
        <v>0</v>
      </c>
      <c r="Z72" s="68">
        <f t="shared" si="8"/>
        <v>0</v>
      </c>
      <c r="AA72" s="69">
        <f t="shared" si="8"/>
        <v>0</v>
      </c>
    </row>
    <row r="73" spans="1:27" ht="17.55" customHeight="1">
      <c r="A73" s="50" t="s">
        <v>120</v>
      </c>
      <c r="B73" s="4"/>
      <c r="C73" s="4"/>
      <c r="D73" s="4"/>
      <c r="E73" s="4"/>
      <c r="F73" s="4"/>
      <c r="G73" s="4"/>
      <c r="H73" s="4"/>
      <c r="I73" s="4"/>
      <c r="J73" s="4"/>
      <c r="K73" s="4"/>
      <c r="L73" s="4"/>
      <c r="M73" s="4"/>
      <c r="N73" s="57"/>
      <c r="O73" s="53">
        <f>SUMIFS(Rewards!$L$3:$L$45,Rewards!$J$3:$J$45,B$4,Rewards!$K$3:$K$45,B73)+SUMIFS(Rewards!$L$3:$L$45,Rewards!$J$3:$J$45,C$4,Rewards!$K$3:$K$45,C73)+SUMIFS(Rewards!$L$3:$L$45,Rewards!$J$3:$J$45,D$4,Rewards!$K$3:$K$45,D73)+SUMIFS(Rewards!$L$3:$L$45,Rewards!$J$3:$J$45,E$4,Rewards!$K$3:$K$45,E73)+SUMIFS(Rewards!$L$3:$L$45,Rewards!$J$3:$J$45,F$4,Rewards!$K$3:$K$45,F73)+SUMIFS(Rewards!$L$3:$L$45,Rewards!$J$3:$J$45,G$4,Rewards!$K$3:$K$45,G73)+SUMIFS(Rewards!$L$3:$L$45,Rewards!$J$3:$J$45,H$4,Rewards!$K$3:$K$45,H73)+SUMIFS(Rewards!$L$3:$L$45,Rewards!$J$3:$J$45,I$4,Rewards!$K$3:$K$45,I73)+SUMIFS(Rewards!$L$3:$L$45,Rewards!$J$3:$J$45,J$4,Rewards!$K$3:$K$45,J73)+SUMIFS(Rewards!$L$3:$L$45,Rewards!$J$3:$J$45,K$4,Rewards!$K$3:$K$45,K73)+SUMIFS(Rewards!$L$3:$L$45,Rewards!$J$3:$J$45,L$4,Rewards!$K$3:$K$45,L73)+SUMIFS(Rewards!$L$3:$L$45,Rewards!$J$3:$J$45,M$4,Rewards!$K$3:$K$45,M73)+SUMIFS(Rewards!$L$3:$L$45,Rewards!$J$3:$J$45,N$4,Rewards!$K$3:$K$45,N73)</f>
        <v>0</v>
      </c>
      <c r="P73" s="82">
        <f t="shared" si="9"/>
        <v>0</v>
      </c>
      <c r="T73" s="73" t="s">
        <v>120</v>
      </c>
      <c r="U73" s="68">
        <f t="shared" si="8"/>
        <v>0</v>
      </c>
      <c r="V73" s="68">
        <f t="shared" si="8"/>
        <v>0</v>
      </c>
      <c r="W73" s="68">
        <f t="shared" si="8"/>
        <v>0</v>
      </c>
      <c r="X73" s="68">
        <f t="shared" si="8"/>
        <v>0</v>
      </c>
      <c r="Y73" s="68">
        <f t="shared" si="8"/>
        <v>0</v>
      </c>
      <c r="Z73" s="68">
        <f t="shared" si="8"/>
        <v>0</v>
      </c>
      <c r="AA73" s="69">
        <f t="shared" si="8"/>
        <v>0</v>
      </c>
    </row>
    <row r="74" spans="1:27" ht="17.55" customHeight="1">
      <c r="A74" s="50" t="s">
        <v>121</v>
      </c>
      <c r="B74" s="4"/>
      <c r="C74" s="4"/>
      <c r="D74" s="4"/>
      <c r="E74" s="4"/>
      <c r="F74" s="4"/>
      <c r="G74" s="4"/>
      <c r="H74" s="4"/>
      <c r="I74" s="4"/>
      <c r="J74" s="4"/>
      <c r="K74" s="4"/>
      <c r="L74" s="4"/>
      <c r="M74" s="4"/>
      <c r="N74" s="57"/>
      <c r="O74" s="53">
        <f>SUMIFS(Rewards!$L$3:$L$45,Rewards!$J$3:$J$45,B$4,Rewards!$K$3:$K$45,B74)+SUMIFS(Rewards!$L$3:$L$45,Rewards!$J$3:$J$45,C$4,Rewards!$K$3:$K$45,C74)+SUMIFS(Rewards!$L$3:$L$45,Rewards!$J$3:$J$45,D$4,Rewards!$K$3:$K$45,D74)+SUMIFS(Rewards!$L$3:$L$45,Rewards!$J$3:$J$45,E$4,Rewards!$K$3:$K$45,E74)+SUMIFS(Rewards!$L$3:$L$45,Rewards!$J$3:$J$45,F$4,Rewards!$K$3:$K$45,F74)+SUMIFS(Rewards!$L$3:$L$45,Rewards!$J$3:$J$45,G$4,Rewards!$K$3:$K$45,G74)+SUMIFS(Rewards!$L$3:$L$45,Rewards!$J$3:$J$45,H$4,Rewards!$K$3:$K$45,H74)+SUMIFS(Rewards!$L$3:$L$45,Rewards!$J$3:$J$45,I$4,Rewards!$K$3:$K$45,I74)+SUMIFS(Rewards!$L$3:$L$45,Rewards!$J$3:$J$45,J$4,Rewards!$K$3:$K$45,J74)+SUMIFS(Rewards!$L$3:$L$45,Rewards!$J$3:$J$45,K$4,Rewards!$K$3:$K$45,K74)+SUMIFS(Rewards!$L$3:$L$45,Rewards!$J$3:$J$45,L$4,Rewards!$K$3:$K$45,L74)+SUMIFS(Rewards!$L$3:$L$45,Rewards!$J$3:$J$45,M$4,Rewards!$K$3:$K$45,M74)+SUMIFS(Rewards!$L$3:$L$45,Rewards!$J$3:$J$45,N$4,Rewards!$K$3:$K$45,N74)</f>
        <v>0</v>
      </c>
      <c r="P74" s="82">
        <f t="shared" si="9"/>
        <v>0</v>
      </c>
      <c r="T74" s="73" t="s">
        <v>121</v>
      </c>
      <c r="U74" s="68">
        <f t="shared" si="8"/>
        <v>0</v>
      </c>
      <c r="V74" s="68">
        <f t="shared" si="8"/>
        <v>0</v>
      </c>
      <c r="W74" s="68">
        <f t="shared" si="8"/>
        <v>0</v>
      </c>
      <c r="X74" s="68">
        <f t="shared" si="8"/>
        <v>0</v>
      </c>
      <c r="Y74" s="68">
        <f t="shared" si="8"/>
        <v>0</v>
      </c>
      <c r="Z74" s="68">
        <f t="shared" si="8"/>
        <v>0</v>
      </c>
      <c r="AA74" s="69">
        <f t="shared" si="8"/>
        <v>0</v>
      </c>
    </row>
    <row r="75" spans="1:27" ht="17.55" customHeight="1">
      <c r="A75" s="50" t="s">
        <v>122</v>
      </c>
      <c r="B75" s="4"/>
      <c r="C75" s="4"/>
      <c r="D75" s="4"/>
      <c r="E75" s="4"/>
      <c r="F75" s="4"/>
      <c r="G75" s="4"/>
      <c r="H75" s="4"/>
      <c r="I75" s="4"/>
      <c r="J75" s="4"/>
      <c r="K75" s="4"/>
      <c r="L75" s="4"/>
      <c r="M75" s="4"/>
      <c r="N75" s="57"/>
      <c r="O75" s="53">
        <f>SUMIFS(Rewards!$L$3:$L$45,Rewards!$J$3:$J$45,B$4,Rewards!$K$3:$K$45,B75)+SUMIFS(Rewards!$L$3:$L$45,Rewards!$J$3:$J$45,C$4,Rewards!$K$3:$K$45,C75)+SUMIFS(Rewards!$L$3:$L$45,Rewards!$J$3:$J$45,D$4,Rewards!$K$3:$K$45,D75)+SUMIFS(Rewards!$L$3:$L$45,Rewards!$J$3:$J$45,E$4,Rewards!$K$3:$K$45,E75)+SUMIFS(Rewards!$L$3:$L$45,Rewards!$J$3:$J$45,F$4,Rewards!$K$3:$K$45,F75)+SUMIFS(Rewards!$L$3:$L$45,Rewards!$J$3:$J$45,G$4,Rewards!$K$3:$K$45,G75)+SUMIFS(Rewards!$L$3:$L$45,Rewards!$J$3:$J$45,H$4,Rewards!$K$3:$K$45,H75)+SUMIFS(Rewards!$L$3:$L$45,Rewards!$J$3:$J$45,I$4,Rewards!$K$3:$K$45,I75)+SUMIFS(Rewards!$L$3:$L$45,Rewards!$J$3:$J$45,J$4,Rewards!$K$3:$K$45,J75)+SUMIFS(Rewards!$L$3:$L$45,Rewards!$J$3:$J$45,K$4,Rewards!$K$3:$K$45,K75)+SUMIFS(Rewards!$L$3:$L$45,Rewards!$J$3:$J$45,L$4,Rewards!$K$3:$K$45,L75)+SUMIFS(Rewards!$L$3:$L$45,Rewards!$J$3:$J$45,M$4,Rewards!$K$3:$K$45,M75)+SUMIFS(Rewards!$L$3:$L$45,Rewards!$J$3:$J$45,N$4,Rewards!$K$3:$K$45,N75)</f>
        <v>0</v>
      </c>
      <c r="P75" s="82">
        <f t="shared" si="9"/>
        <v>0</v>
      </c>
      <c r="T75" s="73" t="s">
        <v>122</v>
      </c>
      <c r="U75" s="68">
        <f t="shared" ref="U75:AA84" si="10">COUNTIF($B75:$N75,U$4)</f>
        <v>0</v>
      </c>
      <c r="V75" s="68">
        <f t="shared" si="10"/>
        <v>0</v>
      </c>
      <c r="W75" s="68">
        <f t="shared" si="10"/>
        <v>0</v>
      </c>
      <c r="X75" s="68">
        <f t="shared" si="10"/>
        <v>0</v>
      </c>
      <c r="Y75" s="68">
        <f t="shared" si="10"/>
        <v>0</v>
      </c>
      <c r="Z75" s="68">
        <f t="shared" si="10"/>
        <v>0</v>
      </c>
      <c r="AA75" s="69">
        <f t="shared" si="10"/>
        <v>0</v>
      </c>
    </row>
    <row r="76" spans="1:27" ht="17.55" customHeight="1">
      <c r="A76" s="50" t="s">
        <v>123</v>
      </c>
      <c r="B76" s="4"/>
      <c r="C76" s="4"/>
      <c r="D76" s="4"/>
      <c r="E76" s="4"/>
      <c r="F76" s="4"/>
      <c r="G76" s="4"/>
      <c r="H76" s="4"/>
      <c r="I76" s="4"/>
      <c r="J76" s="4"/>
      <c r="K76" s="4"/>
      <c r="L76" s="4"/>
      <c r="M76" s="4"/>
      <c r="N76" s="57"/>
      <c r="O76" s="53">
        <f>SUMIFS(Rewards!$L$3:$L$45,Rewards!$J$3:$J$45,B$4,Rewards!$K$3:$K$45,B76)+SUMIFS(Rewards!$L$3:$L$45,Rewards!$J$3:$J$45,C$4,Rewards!$K$3:$K$45,C76)+SUMIFS(Rewards!$L$3:$L$45,Rewards!$J$3:$J$45,D$4,Rewards!$K$3:$K$45,D76)+SUMIFS(Rewards!$L$3:$L$45,Rewards!$J$3:$J$45,E$4,Rewards!$K$3:$K$45,E76)+SUMIFS(Rewards!$L$3:$L$45,Rewards!$J$3:$J$45,F$4,Rewards!$K$3:$K$45,F76)+SUMIFS(Rewards!$L$3:$L$45,Rewards!$J$3:$J$45,G$4,Rewards!$K$3:$K$45,G76)+SUMIFS(Rewards!$L$3:$L$45,Rewards!$J$3:$J$45,H$4,Rewards!$K$3:$K$45,H76)+SUMIFS(Rewards!$L$3:$L$45,Rewards!$J$3:$J$45,I$4,Rewards!$K$3:$K$45,I76)+SUMIFS(Rewards!$L$3:$L$45,Rewards!$J$3:$J$45,J$4,Rewards!$K$3:$K$45,J76)+SUMIFS(Rewards!$L$3:$L$45,Rewards!$J$3:$J$45,K$4,Rewards!$K$3:$K$45,K76)+SUMIFS(Rewards!$L$3:$L$45,Rewards!$J$3:$J$45,L$4,Rewards!$K$3:$K$45,L76)+SUMIFS(Rewards!$L$3:$L$45,Rewards!$J$3:$J$45,M$4,Rewards!$K$3:$K$45,M76)+SUMIFS(Rewards!$L$3:$L$45,Rewards!$J$3:$J$45,N$4,Rewards!$K$3:$K$45,N76)</f>
        <v>0</v>
      </c>
      <c r="P76" s="82">
        <f t="shared" si="9"/>
        <v>0</v>
      </c>
      <c r="T76" s="73" t="s">
        <v>123</v>
      </c>
      <c r="U76" s="68">
        <f t="shared" si="10"/>
        <v>0</v>
      </c>
      <c r="V76" s="68">
        <f t="shared" si="10"/>
        <v>0</v>
      </c>
      <c r="W76" s="68">
        <f t="shared" si="10"/>
        <v>0</v>
      </c>
      <c r="X76" s="68">
        <f t="shared" si="10"/>
        <v>0</v>
      </c>
      <c r="Y76" s="68">
        <f t="shared" si="10"/>
        <v>0</v>
      </c>
      <c r="Z76" s="68">
        <f t="shared" si="10"/>
        <v>0</v>
      </c>
      <c r="AA76" s="69">
        <f t="shared" si="10"/>
        <v>0</v>
      </c>
    </row>
    <row r="77" spans="1:27" ht="17.55" customHeight="1">
      <c r="A77" s="50" t="s">
        <v>124</v>
      </c>
      <c r="B77" s="4"/>
      <c r="C77" s="4"/>
      <c r="D77" s="4"/>
      <c r="E77" s="4"/>
      <c r="F77" s="4"/>
      <c r="G77" s="4"/>
      <c r="H77" s="4"/>
      <c r="I77" s="4"/>
      <c r="J77" s="4"/>
      <c r="K77" s="4"/>
      <c r="L77" s="4"/>
      <c r="M77" s="4"/>
      <c r="N77" s="57"/>
      <c r="O77" s="53">
        <f>SUMIFS(Rewards!$L$3:$L$45,Rewards!$J$3:$J$45,B$4,Rewards!$K$3:$K$45,B77)+SUMIFS(Rewards!$L$3:$L$45,Rewards!$J$3:$J$45,C$4,Rewards!$K$3:$K$45,C77)+SUMIFS(Rewards!$L$3:$L$45,Rewards!$J$3:$J$45,D$4,Rewards!$K$3:$K$45,D77)+SUMIFS(Rewards!$L$3:$L$45,Rewards!$J$3:$J$45,E$4,Rewards!$K$3:$K$45,E77)+SUMIFS(Rewards!$L$3:$L$45,Rewards!$J$3:$J$45,F$4,Rewards!$K$3:$K$45,F77)+SUMIFS(Rewards!$L$3:$L$45,Rewards!$J$3:$J$45,G$4,Rewards!$K$3:$K$45,G77)+SUMIFS(Rewards!$L$3:$L$45,Rewards!$J$3:$J$45,H$4,Rewards!$K$3:$K$45,H77)+SUMIFS(Rewards!$L$3:$L$45,Rewards!$J$3:$J$45,I$4,Rewards!$K$3:$K$45,I77)+SUMIFS(Rewards!$L$3:$L$45,Rewards!$J$3:$J$45,J$4,Rewards!$K$3:$K$45,J77)+SUMIFS(Rewards!$L$3:$L$45,Rewards!$J$3:$J$45,K$4,Rewards!$K$3:$K$45,K77)+SUMIFS(Rewards!$L$3:$L$45,Rewards!$J$3:$J$45,L$4,Rewards!$K$3:$K$45,L77)+SUMIFS(Rewards!$L$3:$L$45,Rewards!$J$3:$J$45,M$4,Rewards!$K$3:$K$45,M77)+SUMIFS(Rewards!$L$3:$L$45,Rewards!$J$3:$J$45,N$4,Rewards!$K$3:$K$45,N77)</f>
        <v>0</v>
      </c>
      <c r="P77" s="82">
        <f t="shared" si="9"/>
        <v>0</v>
      </c>
      <c r="T77" s="73" t="s">
        <v>124</v>
      </c>
      <c r="U77" s="68">
        <f t="shared" si="10"/>
        <v>0</v>
      </c>
      <c r="V77" s="68">
        <f t="shared" si="10"/>
        <v>0</v>
      </c>
      <c r="W77" s="68">
        <f t="shared" si="10"/>
        <v>0</v>
      </c>
      <c r="X77" s="68">
        <f t="shared" si="10"/>
        <v>0</v>
      </c>
      <c r="Y77" s="68">
        <f t="shared" si="10"/>
        <v>0</v>
      </c>
      <c r="Z77" s="68">
        <f t="shared" si="10"/>
        <v>0</v>
      </c>
      <c r="AA77" s="69">
        <f t="shared" si="10"/>
        <v>0</v>
      </c>
    </row>
    <row r="78" spans="1:27" ht="17.55" customHeight="1">
      <c r="A78" s="50" t="s">
        <v>125</v>
      </c>
      <c r="B78" s="4"/>
      <c r="C78" s="4"/>
      <c r="D78" s="4"/>
      <c r="E78" s="4"/>
      <c r="F78" s="4"/>
      <c r="G78" s="4"/>
      <c r="H78" s="4"/>
      <c r="I78" s="4"/>
      <c r="J78" s="4"/>
      <c r="K78" s="4"/>
      <c r="L78" s="4"/>
      <c r="M78" s="4"/>
      <c r="N78" s="57"/>
      <c r="O78" s="53">
        <f>SUMIFS(Rewards!$L$3:$L$45,Rewards!$J$3:$J$45,B$4,Rewards!$K$3:$K$45,B78)+SUMIFS(Rewards!$L$3:$L$45,Rewards!$J$3:$J$45,C$4,Rewards!$K$3:$K$45,C78)+SUMIFS(Rewards!$L$3:$L$45,Rewards!$J$3:$J$45,D$4,Rewards!$K$3:$K$45,D78)+SUMIFS(Rewards!$L$3:$L$45,Rewards!$J$3:$J$45,E$4,Rewards!$K$3:$K$45,E78)+SUMIFS(Rewards!$L$3:$L$45,Rewards!$J$3:$J$45,F$4,Rewards!$K$3:$K$45,F78)+SUMIFS(Rewards!$L$3:$L$45,Rewards!$J$3:$J$45,G$4,Rewards!$K$3:$K$45,G78)+SUMIFS(Rewards!$L$3:$L$45,Rewards!$J$3:$J$45,H$4,Rewards!$K$3:$K$45,H78)+SUMIFS(Rewards!$L$3:$L$45,Rewards!$J$3:$J$45,I$4,Rewards!$K$3:$K$45,I78)+SUMIFS(Rewards!$L$3:$L$45,Rewards!$J$3:$J$45,J$4,Rewards!$K$3:$K$45,J78)+SUMIFS(Rewards!$L$3:$L$45,Rewards!$J$3:$J$45,K$4,Rewards!$K$3:$K$45,K78)+SUMIFS(Rewards!$L$3:$L$45,Rewards!$J$3:$J$45,L$4,Rewards!$K$3:$K$45,L78)+SUMIFS(Rewards!$L$3:$L$45,Rewards!$J$3:$J$45,M$4,Rewards!$K$3:$K$45,M78)+SUMIFS(Rewards!$L$3:$L$45,Rewards!$J$3:$J$45,N$4,Rewards!$K$3:$K$45,N78)</f>
        <v>0</v>
      </c>
      <c r="P78" s="82">
        <f t="shared" si="9"/>
        <v>0</v>
      </c>
      <c r="T78" s="73" t="s">
        <v>125</v>
      </c>
      <c r="U78" s="68">
        <f t="shared" si="10"/>
        <v>0</v>
      </c>
      <c r="V78" s="68">
        <f t="shared" si="10"/>
        <v>0</v>
      </c>
      <c r="W78" s="68">
        <f t="shared" si="10"/>
        <v>0</v>
      </c>
      <c r="X78" s="68">
        <f t="shared" si="10"/>
        <v>0</v>
      </c>
      <c r="Y78" s="68">
        <f t="shared" si="10"/>
        <v>0</v>
      </c>
      <c r="Z78" s="68">
        <f t="shared" si="10"/>
        <v>0</v>
      </c>
      <c r="AA78" s="69">
        <f t="shared" si="10"/>
        <v>0</v>
      </c>
    </row>
    <row r="79" spans="1:27" ht="17.55" customHeight="1">
      <c r="A79" s="50" t="s">
        <v>126</v>
      </c>
      <c r="B79" s="4"/>
      <c r="C79" s="4"/>
      <c r="D79" s="4"/>
      <c r="E79" s="4"/>
      <c r="F79" s="4"/>
      <c r="G79" s="4"/>
      <c r="H79" s="4"/>
      <c r="I79" s="4"/>
      <c r="J79" s="4"/>
      <c r="K79" s="4"/>
      <c r="L79" s="4"/>
      <c r="M79" s="4"/>
      <c r="N79" s="57"/>
      <c r="O79" s="53">
        <f>SUMIFS(Rewards!$L$3:$L$45,Rewards!$J$3:$J$45,B$4,Rewards!$K$3:$K$45,B79)+SUMIFS(Rewards!$L$3:$L$45,Rewards!$J$3:$J$45,C$4,Rewards!$K$3:$K$45,C79)+SUMIFS(Rewards!$L$3:$L$45,Rewards!$J$3:$J$45,D$4,Rewards!$K$3:$K$45,D79)+SUMIFS(Rewards!$L$3:$L$45,Rewards!$J$3:$J$45,E$4,Rewards!$K$3:$K$45,E79)+SUMIFS(Rewards!$L$3:$L$45,Rewards!$J$3:$J$45,F$4,Rewards!$K$3:$K$45,F79)+SUMIFS(Rewards!$L$3:$L$45,Rewards!$J$3:$J$45,G$4,Rewards!$K$3:$K$45,G79)+SUMIFS(Rewards!$L$3:$L$45,Rewards!$J$3:$J$45,H$4,Rewards!$K$3:$K$45,H79)+SUMIFS(Rewards!$L$3:$L$45,Rewards!$J$3:$J$45,I$4,Rewards!$K$3:$K$45,I79)+SUMIFS(Rewards!$L$3:$L$45,Rewards!$J$3:$J$45,J$4,Rewards!$K$3:$K$45,J79)+SUMIFS(Rewards!$L$3:$L$45,Rewards!$J$3:$J$45,K$4,Rewards!$K$3:$K$45,K79)+SUMIFS(Rewards!$L$3:$L$45,Rewards!$J$3:$J$45,L$4,Rewards!$K$3:$K$45,L79)+SUMIFS(Rewards!$L$3:$L$45,Rewards!$J$3:$J$45,M$4,Rewards!$K$3:$K$45,M79)+SUMIFS(Rewards!$L$3:$L$45,Rewards!$J$3:$J$45,N$4,Rewards!$K$3:$K$45,N79)</f>
        <v>0</v>
      </c>
      <c r="P79" s="82">
        <f t="shared" si="9"/>
        <v>0</v>
      </c>
      <c r="T79" s="73" t="s">
        <v>126</v>
      </c>
      <c r="U79" s="68">
        <f t="shared" si="10"/>
        <v>0</v>
      </c>
      <c r="V79" s="68">
        <f t="shared" si="10"/>
        <v>0</v>
      </c>
      <c r="W79" s="68">
        <f t="shared" si="10"/>
        <v>0</v>
      </c>
      <c r="X79" s="68">
        <f t="shared" si="10"/>
        <v>0</v>
      </c>
      <c r="Y79" s="68">
        <f t="shared" si="10"/>
        <v>0</v>
      </c>
      <c r="Z79" s="68">
        <f t="shared" si="10"/>
        <v>0</v>
      </c>
      <c r="AA79" s="69">
        <f t="shared" si="10"/>
        <v>0</v>
      </c>
    </row>
    <row r="80" spans="1:27" ht="17.55" customHeight="1">
      <c r="A80" s="50" t="s">
        <v>127</v>
      </c>
      <c r="B80" s="4"/>
      <c r="C80" s="4"/>
      <c r="D80" s="4"/>
      <c r="E80" s="4"/>
      <c r="F80" s="4"/>
      <c r="G80" s="4"/>
      <c r="H80" s="4"/>
      <c r="I80" s="4"/>
      <c r="J80" s="4"/>
      <c r="K80" s="4"/>
      <c r="L80" s="4"/>
      <c r="M80" s="4"/>
      <c r="N80" s="57"/>
      <c r="O80" s="53">
        <f>SUMIFS(Rewards!$L$3:$L$45,Rewards!$J$3:$J$45,B$4,Rewards!$K$3:$K$45,B80)+SUMIFS(Rewards!$L$3:$L$45,Rewards!$J$3:$J$45,C$4,Rewards!$K$3:$K$45,C80)+SUMIFS(Rewards!$L$3:$L$45,Rewards!$J$3:$J$45,D$4,Rewards!$K$3:$K$45,D80)+SUMIFS(Rewards!$L$3:$L$45,Rewards!$J$3:$J$45,E$4,Rewards!$K$3:$K$45,E80)+SUMIFS(Rewards!$L$3:$L$45,Rewards!$J$3:$J$45,F$4,Rewards!$K$3:$K$45,F80)+SUMIFS(Rewards!$L$3:$L$45,Rewards!$J$3:$J$45,G$4,Rewards!$K$3:$K$45,G80)+SUMIFS(Rewards!$L$3:$L$45,Rewards!$J$3:$J$45,H$4,Rewards!$K$3:$K$45,H80)+SUMIFS(Rewards!$L$3:$L$45,Rewards!$J$3:$J$45,I$4,Rewards!$K$3:$K$45,I80)+SUMIFS(Rewards!$L$3:$L$45,Rewards!$J$3:$J$45,J$4,Rewards!$K$3:$K$45,J80)+SUMIFS(Rewards!$L$3:$L$45,Rewards!$J$3:$J$45,K$4,Rewards!$K$3:$K$45,K80)+SUMIFS(Rewards!$L$3:$L$45,Rewards!$J$3:$J$45,L$4,Rewards!$K$3:$K$45,L80)+SUMIFS(Rewards!$L$3:$L$45,Rewards!$J$3:$J$45,M$4,Rewards!$K$3:$K$45,M80)+SUMIFS(Rewards!$L$3:$L$45,Rewards!$J$3:$J$45,N$4,Rewards!$K$3:$K$45,N80)</f>
        <v>0</v>
      </c>
      <c r="P80" s="82">
        <f t="shared" si="9"/>
        <v>0</v>
      </c>
      <c r="T80" s="73" t="s">
        <v>127</v>
      </c>
      <c r="U80" s="68">
        <f t="shared" si="10"/>
        <v>0</v>
      </c>
      <c r="V80" s="68">
        <f t="shared" si="10"/>
        <v>0</v>
      </c>
      <c r="W80" s="68">
        <f t="shared" si="10"/>
        <v>0</v>
      </c>
      <c r="X80" s="68">
        <f t="shared" si="10"/>
        <v>0</v>
      </c>
      <c r="Y80" s="68">
        <f t="shared" si="10"/>
        <v>0</v>
      </c>
      <c r="Z80" s="68">
        <f t="shared" si="10"/>
        <v>0</v>
      </c>
      <c r="AA80" s="69">
        <f t="shared" si="10"/>
        <v>0</v>
      </c>
    </row>
    <row r="81" spans="1:27" ht="17.55" customHeight="1">
      <c r="A81" s="50" t="s">
        <v>128</v>
      </c>
      <c r="B81" s="4"/>
      <c r="C81" s="4"/>
      <c r="D81" s="4"/>
      <c r="E81" s="4"/>
      <c r="F81" s="4"/>
      <c r="G81" s="4"/>
      <c r="H81" s="4"/>
      <c r="I81" s="4"/>
      <c r="J81" s="4"/>
      <c r="K81" s="4"/>
      <c r="L81" s="4"/>
      <c r="M81" s="4"/>
      <c r="N81" s="57"/>
      <c r="O81" s="53">
        <f>SUMIFS(Rewards!$L$3:$L$45,Rewards!$J$3:$J$45,B$4,Rewards!$K$3:$K$45,B81)+SUMIFS(Rewards!$L$3:$L$45,Rewards!$J$3:$J$45,C$4,Rewards!$K$3:$K$45,C81)+SUMIFS(Rewards!$L$3:$L$45,Rewards!$J$3:$J$45,D$4,Rewards!$K$3:$K$45,D81)+SUMIFS(Rewards!$L$3:$L$45,Rewards!$J$3:$J$45,E$4,Rewards!$K$3:$K$45,E81)+SUMIFS(Rewards!$L$3:$L$45,Rewards!$J$3:$J$45,F$4,Rewards!$K$3:$K$45,F81)+SUMIFS(Rewards!$L$3:$L$45,Rewards!$J$3:$J$45,G$4,Rewards!$K$3:$K$45,G81)+SUMIFS(Rewards!$L$3:$L$45,Rewards!$J$3:$J$45,H$4,Rewards!$K$3:$K$45,H81)+SUMIFS(Rewards!$L$3:$L$45,Rewards!$J$3:$J$45,I$4,Rewards!$K$3:$K$45,I81)+SUMIFS(Rewards!$L$3:$L$45,Rewards!$J$3:$J$45,J$4,Rewards!$K$3:$K$45,J81)+SUMIFS(Rewards!$L$3:$L$45,Rewards!$J$3:$J$45,K$4,Rewards!$K$3:$K$45,K81)+SUMIFS(Rewards!$L$3:$L$45,Rewards!$J$3:$J$45,L$4,Rewards!$K$3:$K$45,L81)+SUMIFS(Rewards!$L$3:$L$45,Rewards!$J$3:$J$45,M$4,Rewards!$K$3:$K$45,M81)+SUMIFS(Rewards!$L$3:$L$45,Rewards!$J$3:$J$45,N$4,Rewards!$K$3:$K$45,N81)</f>
        <v>0</v>
      </c>
      <c r="P81" s="82">
        <f t="shared" si="9"/>
        <v>0</v>
      </c>
      <c r="T81" s="73" t="s">
        <v>128</v>
      </c>
      <c r="U81" s="68">
        <f t="shared" si="10"/>
        <v>0</v>
      </c>
      <c r="V81" s="68">
        <f t="shared" si="10"/>
        <v>0</v>
      </c>
      <c r="W81" s="68">
        <f t="shared" si="10"/>
        <v>0</v>
      </c>
      <c r="X81" s="68">
        <f t="shared" si="10"/>
        <v>0</v>
      </c>
      <c r="Y81" s="68">
        <f t="shared" si="10"/>
        <v>0</v>
      </c>
      <c r="Z81" s="68">
        <f t="shared" si="10"/>
        <v>0</v>
      </c>
      <c r="AA81" s="69">
        <f t="shared" si="10"/>
        <v>0</v>
      </c>
    </row>
    <row r="82" spans="1:27" ht="17.55" customHeight="1">
      <c r="A82" s="50" t="s">
        <v>129</v>
      </c>
      <c r="B82" s="4"/>
      <c r="C82" s="4"/>
      <c r="D82" s="4"/>
      <c r="E82" s="4"/>
      <c r="F82" s="4"/>
      <c r="G82" s="4"/>
      <c r="H82" s="4"/>
      <c r="I82" s="4"/>
      <c r="J82" s="4"/>
      <c r="K82" s="4"/>
      <c r="L82" s="4"/>
      <c r="M82" s="4"/>
      <c r="N82" s="57"/>
      <c r="O82" s="53">
        <f>SUMIFS(Rewards!$L$3:$L$45,Rewards!$J$3:$J$45,B$4,Rewards!$K$3:$K$45,B82)+SUMIFS(Rewards!$L$3:$L$45,Rewards!$J$3:$J$45,C$4,Rewards!$K$3:$K$45,C82)+SUMIFS(Rewards!$L$3:$L$45,Rewards!$J$3:$J$45,D$4,Rewards!$K$3:$K$45,D82)+SUMIFS(Rewards!$L$3:$L$45,Rewards!$J$3:$J$45,E$4,Rewards!$K$3:$K$45,E82)+SUMIFS(Rewards!$L$3:$L$45,Rewards!$J$3:$J$45,F$4,Rewards!$K$3:$K$45,F82)+SUMIFS(Rewards!$L$3:$L$45,Rewards!$J$3:$J$45,G$4,Rewards!$K$3:$K$45,G82)+SUMIFS(Rewards!$L$3:$L$45,Rewards!$J$3:$J$45,H$4,Rewards!$K$3:$K$45,H82)+SUMIFS(Rewards!$L$3:$L$45,Rewards!$J$3:$J$45,I$4,Rewards!$K$3:$K$45,I82)+SUMIFS(Rewards!$L$3:$L$45,Rewards!$J$3:$J$45,J$4,Rewards!$K$3:$K$45,J82)+SUMIFS(Rewards!$L$3:$L$45,Rewards!$J$3:$J$45,K$4,Rewards!$K$3:$K$45,K82)+SUMIFS(Rewards!$L$3:$L$45,Rewards!$J$3:$J$45,L$4,Rewards!$K$3:$K$45,L82)+SUMIFS(Rewards!$L$3:$L$45,Rewards!$J$3:$J$45,M$4,Rewards!$K$3:$K$45,M82)+SUMIFS(Rewards!$L$3:$L$45,Rewards!$J$3:$J$45,N$4,Rewards!$K$3:$K$45,N82)</f>
        <v>0</v>
      </c>
      <c r="P82" s="82">
        <f t="shared" si="9"/>
        <v>0</v>
      </c>
      <c r="T82" s="73" t="s">
        <v>129</v>
      </c>
      <c r="U82" s="68">
        <f t="shared" si="10"/>
        <v>0</v>
      </c>
      <c r="V82" s="68">
        <f t="shared" si="10"/>
        <v>0</v>
      </c>
      <c r="W82" s="68">
        <f t="shared" si="10"/>
        <v>0</v>
      </c>
      <c r="X82" s="68">
        <f t="shared" si="10"/>
        <v>0</v>
      </c>
      <c r="Y82" s="68">
        <f t="shared" si="10"/>
        <v>0</v>
      </c>
      <c r="Z82" s="68">
        <f t="shared" si="10"/>
        <v>0</v>
      </c>
      <c r="AA82" s="69">
        <f t="shared" si="10"/>
        <v>0</v>
      </c>
    </row>
    <row r="83" spans="1:27" ht="17.55" customHeight="1">
      <c r="A83" s="50" t="s">
        <v>130</v>
      </c>
      <c r="B83" s="4"/>
      <c r="C83" s="4"/>
      <c r="D83" s="4"/>
      <c r="E83" s="4"/>
      <c r="F83" s="4"/>
      <c r="G83" s="4"/>
      <c r="H83" s="4"/>
      <c r="I83" s="4"/>
      <c r="J83" s="4"/>
      <c r="K83" s="4"/>
      <c r="L83" s="4"/>
      <c r="M83" s="4"/>
      <c r="N83" s="57"/>
      <c r="O83" s="53">
        <f>SUMIFS(Rewards!$L$3:$L$45,Rewards!$J$3:$J$45,B$4,Rewards!$K$3:$K$45,B83)+SUMIFS(Rewards!$L$3:$L$45,Rewards!$J$3:$J$45,C$4,Rewards!$K$3:$K$45,C83)+SUMIFS(Rewards!$L$3:$L$45,Rewards!$J$3:$J$45,D$4,Rewards!$K$3:$K$45,D83)+SUMIFS(Rewards!$L$3:$L$45,Rewards!$J$3:$J$45,E$4,Rewards!$K$3:$K$45,E83)+SUMIFS(Rewards!$L$3:$L$45,Rewards!$J$3:$J$45,F$4,Rewards!$K$3:$K$45,F83)+SUMIFS(Rewards!$L$3:$L$45,Rewards!$J$3:$J$45,G$4,Rewards!$K$3:$K$45,G83)+SUMIFS(Rewards!$L$3:$L$45,Rewards!$J$3:$J$45,H$4,Rewards!$K$3:$K$45,H83)+SUMIFS(Rewards!$L$3:$L$45,Rewards!$J$3:$J$45,I$4,Rewards!$K$3:$K$45,I83)+SUMIFS(Rewards!$L$3:$L$45,Rewards!$J$3:$J$45,J$4,Rewards!$K$3:$K$45,J83)+SUMIFS(Rewards!$L$3:$L$45,Rewards!$J$3:$J$45,K$4,Rewards!$K$3:$K$45,K83)+SUMIFS(Rewards!$L$3:$L$45,Rewards!$J$3:$J$45,L$4,Rewards!$K$3:$K$45,L83)+SUMIFS(Rewards!$L$3:$L$45,Rewards!$J$3:$J$45,M$4,Rewards!$K$3:$K$45,M83)+SUMIFS(Rewards!$L$3:$L$45,Rewards!$J$3:$J$45,N$4,Rewards!$K$3:$K$45,N83)</f>
        <v>0</v>
      </c>
      <c r="P83" s="82">
        <f t="shared" si="9"/>
        <v>0</v>
      </c>
      <c r="T83" s="73" t="s">
        <v>130</v>
      </c>
      <c r="U83" s="68">
        <f t="shared" si="10"/>
        <v>0</v>
      </c>
      <c r="V83" s="68">
        <f t="shared" si="10"/>
        <v>0</v>
      </c>
      <c r="W83" s="68">
        <f t="shared" si="10"/>
        <v>0</v>
      </c>
      <c r="X83" s="68">
        <f t="shared" si="10"/>
        <v>0</v>
      </c>
      <c r="Y83" s="68">
        <f t="shared" si="10"/>
        <v>0</v>
      </c>
      <c r="Z83" s="68">
        <f t="shared" si="10"/>
        <v>0</v>
      </c>
      <c r="AA83" s="69">
        <f t="shared" si="10"/>
        <v>0</v>
      </c>
    </row>
    <row r="84" spans="1:27" ht="17.55" customHeight="1">
      <c r="A84" s="50" t="s">
        <v>131</v>
      </c>
      <c r="B84" s="4"/>
      <c r="C84" s="4"/>
      <c r="D84" s="4"/>
      <c r="E84" s="4"/>
      <c r="F84" s="4"/>
      <c r="G84" s="4"/>
      <c r="H84" s="4"/>
      <c r="I84" s="4"/>
      <c r="J84" s="4"/>
      <c r="K84" s="4"/>
      <c r="L84" s="4"/>
      <c r="M84" s="4"/>
      <c r="N84" s="57"/>
      <c r="O84" s="53">
        <f>SUMIFS(Rewards!$L$3:$L$45,Rewards!$J$3:$J$45,B$4,Rewards!$K$3:$K$45,B84)+SUMIFS(Rewards!$L$3:$L$45,Rewards!$J$3:$J$45,C$4,Rewards!$K$3:$K$45,C84)+SUMIFS(Rewards!$L$3:$L$45,Rewards!$J$3:$J$45,D$4,Rewards!$K$3:$K$45,D84)+SUMIFS(Rewards!$L$3:$L$45,Rewards!$J$3:$J$45,E$4,Rewards!$K$3:$K$45,E84)+SUMIFS(Rewards!$L$3:$L$45,Rewards!$J$3:$J$45,F$4,Rewards!$K$3:$K$45,F84)+SUMIFS(Rewards!$L$3:$L$45,Rewards!$J$3:$J$45,G$4,Rewards!$K$3:$K$45,G84)+SUMIFS(Rewards!$L$3:$L$45,Rewards!$J$3:$J$45,H$4,Rewards!$K$3:$K$45,H84)+SUMIFS(Rewards!$L$3:$L$45,Rewards!$J$3:$J$45,I$4,Rewards!$K$3:$K$45,I84)+SUMIFS(Rewards!$L$3:$L$45,Rewards!$J$3:$J$45,J$4,Rewards!$K$3:$K$45,J84)+SUMIFS(Rewards!$L$3:$L$45,Rewards!$J$3:$J$45,K$4,Rewards!$K$3:$K$45,K84)+SUMIFS(Rewards!$L$3:$L$45,Rewards!$J$3:$J$45,L$4,Rewards!$K$3:$K$45,L84)+SUMIFS(Rewards!$L$3:$L$45,Rewards!$J$3:$J$45,M$4,Rewards!$K$3:$K$45,M84)+SUMIFS(Rewards!$L$3:$L$45,Rewards!$J$3:$J$45,N$4,Rewards!$K$3:$K$45,N84)</f>
        <v>0</v>
      </c>
      <c r="P84" s="82">
        <f t="shared" si="9"/>
        <v>0</v>
      </c>
      <c r="T84" s="73" t="s">
        <v>131</v>
      </c>
      <c r="U84" s="68">
        <f t="shared" si="10"/>
        <v>0</v>
      </c>
      <c r="V84" s="68">
        <f t="shared" si="10"/>
        <v>0</v>
      </c>
      <c r="W84" s="68">
        <f t="shared" si="10"/>
        <v>0</v>
      </c>
      <c r="X84" s="68">
        <f t="shared" si="10"/>
        <v>0</v>
      </c>
      <c r="Y84" s="68">
        <f t="shared" si="10"/>
        <v>0</v>
      </c>
      <c r="Z84" s="68">
        <f t="shared" si="10"/>
        <v>0</v>
      </c>
      <c r="AA84" s="69">
        <f t="shared" si="10"/>
        <v>0</v>
      </c>
    </row>
    <row r="85" spans="1:27" ht="17.55" customHeight="1">
      <c r="A85" s="50" t="s">
        <v>132</v>
      </c>
      <c r="B85" s="4"/>
      <c r="C85" s="4"/>
      <c r="D85" s="4"/>
      <c r="E85" s="4"/>
      <c r="F85" s="4"/>
      <c r="G85" s="4"/>
      <c r="H85" s="4"/>
      <c r="I85" s="4"/>
      <c r="J85" s="4"/>
      <c r="K85" s="4"/>
      <c r="L85" s="4"/>
      <c r="M85" s="4"/>
      <c r="N85" s="57"/>
      <c r="O85" s="53">
        <f>SUMIFS(Rewards!$L$3:$L$45,Rewards!$J$3:$J$45,B$4,Rewards!$K$3:$K$45,B85)+SUMIFS(Rewards!$L$3:$L$45,Rewards!$J$3:$J$45,C$4,Rewards!$K$3:$K$45,C85)+SUMIFS(Rewards!$L$3:$L$45,Rewards!$J$3:$J$45,D$4,Rewards!$K$3:$K$45,D85)+SUMIFS(Rewards!$L$3:$L$45,Rewards!$J$3:$J$45,E$4,Rewards!$K$3:$K$45,E85)+SUMIFS(Rewards!$L$3:$L$45,Rewards!$J$3:$J$45,F$4,Rewards!$K$3:$K$45,F85)+SUMIFS(Rewards!$L$3:$L$45,Rewards!$J$3:$J$45,G$4,Rewards!$K$3:$K$45,G85)+SUMIFS(Rewards!$L$3:$L$45,Rewards!$J$3:$J$45,H$4,Rewards!$K$3:$K$45,H85)+SUMIFS(Rewards!$L$3:$L$45,Rewards!$J$3:$J$45,I$4,Rewards!$K$3:$K$45,I85)+SUMIFS(Rewards!$L$3:$L$45,Rewards!$J$3:$J$45,J$4,Rewards!$K$3:$K$45,J85)+SUMIFS(Rewards!$L$3:$L$45,Rewards!$J$3:$J$45,K$4,Rewards!$K$3:$K$45,K85)+SUMIFS(Rewards!$L$3:$L$45,Rewards!$J$3:$J$45,L$4,Rewards!$K$3:$K$45,L85)+SUMIFS(Rewards!$L$3:$L$45,Rewards!$J$3:$J$45,M$4,Rewards!$K$3:$K$45,M85)+SUMIFS(Rewards!$L$3:$L$45,Rewards!$J$3:$J$45,N$4,Rewards!$K$3:$K$45,N85)</f>
        <v>0</v>
      </c>
      <c r="P85" s="82">
        <f t="shared" si="9"/>
        <v>0</v>
      </c>
      <c r="T85" s="73" t="s">
        <v>132</v>
      </c>
      <c r="U85" s="68">
        <f t="shared" ref="U85:AA94" si="11">COUNTIF($B85:$N85,U$4)</f>
        <v>0</v>
      </c>
      <c r="V85" s="68">
        <f t="shared" si="11"/>
        <v>0</v>
      </c>
      <c r="W85" s="68">
        <f t="shared" si="11"/>
        <v>0</v>
      </c>
      <c r="X85" s="68">
        <f t="shared" si="11"/>
        <v>0</v>
      </c>
      <c r="Y85" s="68">
        <f t="shared" si="11"/>
        <v>0</v>
      </c>
      <c r="Z85" s="68">
        <f t="shared" si="11"/>
        <v>0</v>
      </c>
      <c r="AA85" s="69">
        <f t="shared" si="11"/>
        <v>0</v>
      </c>
    </row>
    <row r="86" spans="1:27" ht="17.55" customHeight="1">
      <c r="A86" s="50" t="s">
        <v>133</v>
      </c>
      <c r="B86" s="4"/>
      <c r="C86" s="4"/>
      <c r="D86" s="4"/>
      <c r="E86" s="4"/>
      <c r="F86" s="4"/>
      <c r="G86" s="4"/>
      <c r="H86" s="4"/>
      <c r="I86" s="4"/>
      <c r="J86" s="4"/>
      <c r="K86" s="4"/>
      <c r="L86" s="4"/>
      <c r="M86" s="4"/>
      <c r="N86" s="57"/>
      <c r="O86" s="53">
        <f>SUMIFS(Rewards!$L$3:$L$45,Rewards!$J$3:$J$45,B$4,Rewards!$K$3:$K$45,B86)+SUMIFS(Rewards!$L$3:$L$45,Rewards!$J$3:$J$45,C$4,Rewards!$K$3:$K$45,C86)+SUMIFS(Rewards!$L$3:$L$45,Rewards!$J$3:$J$45,D$4,Rewards!$K$3:$K$45,D86)+SUMIFS(Rewards!$L$3:$L$45,Rewards!$J$3:$J$45,E$4,Rewards!$K$3:$K$45,E86)+SUMIFS(Rewards!$L$3:$L$45,Rewards!$J$3:$J$45,F$4,Rewards!$K$3:$K$45,F86)+SUMIFS(Rewards!$L$3:$L$45,Rewards!$J$3:$J$45,G$4,Rewards!$K$3:$K$45,G86)+SUMIFS(Rewards!$L$3:$L$45,Rewards!$J$3:$J$45,H$4,Rewards!$K$3:$K$45,H86)+SUMIFS(Rewards!$L$3:$L$45,Rewards!$J$3:$J$45,I$4,Rewards!$K$3:$K$45,I86)+SUMIFS(Rewards!$L$3:$L$45,Rewards!$J$3:$J$45,J$4,Rewards!$K$3:$K$45,J86)+SUMIFS(Rewards!$L$3:$L$45,Rewards!$J$3:$J$45,K$4,Rewards!$K$3:$K$45,K86)+SUMIFS(Rewards!$L$3:$L$45,Rewards!$J$3:$J$45,L$4,Rewards!$K$3:$K$45,L86)+SUMIFS(Rewards!$L$3:$L$45,Rewards!$J$3:$J$45,M$4,Rewards!$K$3:$K$45,M86)+SUMIFS(Rewards!$L$3:$L$45,Rewards!$J$3:$J$45,N$4,Rewards!$K$3:$K$45,N86)</f>
        <v>0</v>
      </c>
      <c r="P86" s="82">
        <f t="shared" si="9"/>
        <v>0</v>
      </c>
      <c r="T86" s="73" t="s">
        <v>133</v>
      </c>
      <c r="U86" s="68">
        <f t="shared" si="11"/>
        <v>0</v>
      </c>
      <c r="V86" s="68">
        <f t="shared" si="11"/>
        <v>0</v>
      </c>
      <c r="W86" s="68">
        <f t="shared" si="11"/>
        <v>0</v>
      </c>
      <c r="X86" s="68">
        <f t="shared" si="11"/>
        <v>0</v>
      </c>
      <c r="Y86" s="68">
        <f t="shared" si="11"/>
        <v>0</v>
      </c>
      <c r="Z86" s="68">
        <f t="shared" si="11"/>
        <v>0</v>
      </c>
      <c r="AA86" s="69">
        <f t="shared" si="11"/>
        <v>0</v>
      </c>
    </row>
    <row r="87" spans="1:27" ht="17.55" customHeight="1">
      <c r="A87" s="50" t="s">
        <v>134</v>
      </c>
      <c r="B87" s="4"/>
      <c r="C87" s="4"/>
      <c r="D87" s="4"/>
      <c r="E87" s="4"/>
      <c r="F87" s="4"/>
      <c r="G87" s="4"/>
      <c r="H87" s="4"/>
      <c r="I87" s="4"/>
      <c r="J87" s="4"/>
      <c r="K87" s="4"/>
      <c r="L87" s="4"/>
      <c r="M87" s="4"/>
      <c r="N87" s="57"/>
      <c r="O87" s="53">
        <f>SUMIFS(Rewards!$L$3:$L$45,Rewards!$J$3:$J$45,B$4,Rewards!$K$3:$K$45,B87)+SUMIFS(Rewards!$L$3:$L$45,Rewards!$J$3:$J$45,C$4,Rewards!$K$3:$K$45,C87)+SUMIFS(Rewards!$L$3:$L$45,Rewards!$J$3:$J$45,D$4,Rewards!$K$3:$K$45,D87)+SUMIFS(Rewards!$L$3:$L$45,Rewards!$J$3:$J$45,E$4,Rewards!$K$3:$K$45,E87)+SUMIFS(Rewards!$L$3:$L$45,Rewards!$J$3:$J$45,F$4,Rewards!$K$3:$K$45,F87)+SUMIFS(Rewards!$L$3:$L$45,Rewards!$J$3:$J$45,G$4,Rewards!$K$3:$K$45,G87)+SUMIFS(Rewards!$L$3:$L$45,Rewards!$J$3:$J$45,H$4,Rewards!$K$3:$K$45,H87)+SUMIFS(Rewards!$L$3:$L$45,Rewards!$J$3:$J$45,I$4,Rewards!$K$3:$K$45,I87)+SUMIFS(Rewards!$L$3:$L$45,Rewards!$J$3:$J$45,J$4,Rewards!$K$3:$K$45,J87)+SUMIFS(Rewards!$L$3:$L$45,Rewards!$J$3:$J$45,K$4,Rewards!$K$3:$K$45,K87)+SUMIFS(Rewards!$L$3:$L$45,Rewards!$J$3:$J$45,L$4,Rewards!$K$3:$K$45,L87)+SUMIFS(Rewards!$L$3:$L$45,Rewards!$J$3:$J$45,M$4,Rewards!$K$3:$K$45,M87)+SUMIFS(Rewards!$L$3:$L$45,Rewards!$J$3:$J$45,N$4,Rewards!$K$3:$K$45,N87)</f>
        <v>0</v>
      </c>
      <c r="P87" s="82">
        <f t="shared" si="9"/>
        <v>0</v>
      </c>
      <c r="T87" s="73" t="s">
        <v>134</v>
      </c>
      <c r="U87" s="68">
        <f t="shared" si="11"/>
        <v>0</v>
      </c>
      <c r="V87" s="68">
        <f t="shared" si="11"/>
        <v>0</v>
      </c>
      <c r="W87" s="68">
        <f t="shared" si="11"/>
        <v>0</v>
      </c>
      <c r="X87" s="68">
        <f t="shared" si="11"/>
        <v>0</v>
      </c>
      <c r="Y87" s="68">
        <f t="shared" si="11"/>
        <v>0</v>
      </c>
      <c r="Z87" s="68">
        <f t="shared" si="11"/>
        <v>0</v>
      </c>
      <c r="AA87" s="69">
        <f t="shared" si="11"/>
        <v>0</v>
      </c>
    </row>
    <row r="88" spans="1:27" ht="17.55" customHeight="1">
      <c r="A88" s="50" t="s">
        <v>135</v>
      </c>
      <c r="B88" s="4"/>
      <c r="C88" s="4"/>
      <c r="D88" s="4"/>
      <c r="E88" s="4"/>
      <c r="F88" s="4"/>
      <c r="G88" s="4"/>
      <c r="H88" s="4"/>
      <c r="I88" s="4"/>
      <c r="J88" s="4"/>
      <c r="K88" s="4"/>
      <c r="L88" s="4"/>
      <c r="M88" s="4"/>
      <c r="N88" s="57"/>
      <c r="O88" s="53">
        <f>SUMIFS(Rewards!$L$3:$L$45,Rewards!$J$3:$J$45,B$4,Rewards!$K$3:$K$45,B88)+SUMIFS(Rewards!$L$3:$L$45,Rewards!$J$3:$J$45,C$4,Rewards!$K$3:$K$45,C88)+SUMIFS(Rewards!$L$3:$L$45,Rewards!$J$3:$J$45,D$4,Rewards!$K$3:$K$45,D88)+SUMIFS(Rewards!$L$3:$L$45,Rewards!$J$3:$J$45,E$4,Rewards!$K$3:$K$45,E88)+SUMIFS(Rewards!$L$3:$L$45,Rewards!$J$3:$J$45,F$4,Rewards!$K$3:$K$45,F88)+SUMIFS(Rewards!$L$3:$L$45,Rewards!$J$3:$J$45,G$4,Rewards!$K$3:$K$45,G88)+SUMIFS(Rewards!$L$3:$L$45,Rewards!$J$3:$J$45,H$4,Rewards!$K$3:$K$45,H88)+SUMIFS(Rewards!$L$3:$L$45,Rewards!$J$3:$J$45,I$4,Rewards!$K$3:$K$45,I88)+SUMIFS(Rewards!$L$3:$L$45,Rewards!$J$3:$J$45,J$4,Rewards!$K$3:$K$45,J88)+SUMIFS(Rewards!$L$3:$L$45,Rewards!$J$3:$J$45,K$4,Rewards!$K$3:$K$45,K88)+SUMIFS(Rewards!$L$3:$L$45,Rewards!$J$3:$J$45,L$4,Rewards!$K$3:$K$45,L88)+SUMIFS(Rewards!$L$3:$L$45,Rewards!$J$3:$J$45,M$4,Rewards!$K$3:$K$45,M88)+SUMIFS(Rewards!$L$3:$L$45,Rewards!$J$3:$J$45,N$4,Rewards!$K$3:$K$45,N88)</f>
        <v>0</v>
      </c>
      <c r="P88" s="82">
        <f t="shared" si="9"/>
        <v>0</v>
      </c>
      <c r="T88" s="73" t="s">
        <v>135</v>
      </c>
      <c r="U88" s="68">
        <f t="shared" si="11"/>
        <v>0</v>
      </c>
      <c r="V88" s="68">
        <f t="shared" si="11"/>
        <v>0</v>
      </c>
      <c r="W88" s="68">
        <f t="shared" si="11"/>
        <v>0</v>
      </c>
      <c r="X88" s="68">
        <f t="shared" si="11"/>
        <v>0</v>
      </c>
      <c r="Y88" s="68">
        <f t="shared" si="11"/>
        <v>0</v>
      </c>
      <c r="Z88" s="68">
        <f t="shared" si="11"/>
        <v>0</v>
      </c>
      <c r="AA88" s="69">
        <f t="shared" si="11"/>
        <v>0</v>
      </c>
    </row>
    <row r="89" spans="1:27" ht="17.55" customHeight="1">
      <c r="A89" s="50" t="s">
        <v>136</v>
      </c>
      <c r="B89" s="4"/>
      <c r="C89" s="4"/>
      <c r="D89" s="4"/>
      <c r="E89" s="4"/>
      <c r="F89" s="4"/>
      <c r="G89" s="4"/>
      <c r="H89" s="4"/>
      <c r="I89" s="4"/>
      <c r="J89" s="4"/>
      <c r="K89" s="4"/>
      <c r="L89" s="4"/>
      <c r="M89" s="4"/>
      <c r="N89" s="57"/>
      <c r="O89" s="53">
        <f>SUMIFS(Rewards!$L$3:$L$45,Rewards!$J$3:$J$45,B$4,Rewards!$K$3:$K$45,B89)+SUMIFS(Rewards!$L$3:$L$45,Rewards!$J$3:$J$45,C$4,Rewards!$K$3:$K$45,C89)+SUMIFS(Rewards!$L$3:$L$45,Rewards!$J$3:$J$45,D$4,Rewards!$K$3:$K$45,D89)+SUMIFS(Rewards!$L$3:$L$45,Rewards!$J$3:$J$45,E$4,Rewards!$K$3:$K$45,E89)+SUMIFS(Rewards!$L$3:$L$45,Rewards!$J$3:$J$45,F$4,Rewards!$K$3:$K$45,F89)+SUMIFS(Rewards!$L$3:$L$45,Rewards!$J$3:$J$45,G$4,Rewards!$K$3:$K$45,G89)+SUMIFS(Rewards!$L$3:$L$45,Rewards!$J$3:$J$45,H$4,Rewards!$K$3:$K$45,H89)+SUMIFS(Rewards!$L$3:$L$45,Rewards!$J$3:$J$45,I$4,Rewards!$K$3:$K$45,I89)+SUMIFS(Rewards!$L$3:$L$45,Rewards!$J$3:$J$45,J$4,Rewards!$K$3:$K$45,J89)+SUMIFS(Rewards!$L$3:$L$45,Rewards!$J$3:$J$45,K$4,Rewards!$K$3:$K$45,K89)+SUMIFS(Rewards!$L$3:$L$45,Rewards!$J$3:$J$45,L$4,Rewards!$K$3:$K$45,L89)+SUMIFS(Rewards!$L$3:$L$45,Rewards!$J$3:$J$45,M$4,Rewards!$K$3:$K$45,M89)+SUMIFS(Rewards!$L$3:$L$45,Rewards!$J$3:$J$45,N$4,Rewards!$K$3:$K$45,N89)</f>
        <v>0</v>
      </c>
      <c r="P89" s="82">
        <f t="shared" si="9"/>
        <v>0</v>
      </c>
      <c r="T89" s="73" t="s">
        <v>136</v>
      </c>
      <c r="U89" s="68">
        <f t="shared" si="11"/>
        <v>0</v>
      </c>
      <c r="V89" s="68">
        <f t="shared" si="11"/>
        <v>0</v>
      </c>
      <c r="W89" s="68">
        <f t="shared" si="11"/>
        <v>0</v>
      </c>
      <c r="X89" s="68">
        <f t="shared" si="11"/>
        <v>0</v>
      </c>
      <c r="Y89" s="68">
        <f t="shared" si="11"/>
        <v>0</v>
      </c>
      <c r="Z89" s="68">
        <f t="shared" si="11"/>
        <v>0</v>
      </c>
      <c r="AA89" s="69">
        <f t="shared" si="11"/>
        <v>0</v>
      </c>
    </row>
    <row r="90" spans="1:27" ht="17.55" customHeight="1">
      <c r="A90" s="50" t="s">
        <v>137</v>
      </c>
      <c r="B90" s="4"/>
      <c r="C90" s="4"/>
      <c r="D90" s="4"/>
      <c r="E90" s="4"/>
      <c r="F90" s="4"/>
      <c r="G90" s="4"/>
      <c r="H90" s="4"/>
      <c r="I90" s="4"/>
      <c r="J90" s="4"/>
      <c r="K90" s="4"/>
      <c r="L90" s="4"/>
      <c r="M90" s="4"/>
      <c r="N90" s="57"/>
      <c r="O90" s="53">
        <f>SUMIFS(Rewards!$L$3:$L$45,Rewards!$J$3:$J$45,B$4,Rewards!$K$3:$K$45,B90)+SUMIFS(Rewards!$L$3:$L$45,Rewards!$J$3:$J$45,C$4,Rewards!$K$3:$K$45,C90)+SUMIFS(Rewards!$L$3:$L$45,Rewards!$J$3:$J$45,D$4,Rewards!$K$3:$K$45,D90)+SUMIFS(Rewards!$L$3:$L$45,Rewards!$J$3:$J$45,E$4,Rewards!$K$3:$K$45,E90)+SUMIFS(Rewards!$L$3:$L$45,Rewards!$J$3:$J$45,F$4,Rewards!$K$3:$K$45,F90)+SUMIFS(Rewards!$L$3:$L$45,Rewards!$J$3:$J$45,G$4,Rewards!$K$3:$K$45,G90)+SUMIFS(Rewards!$L$3:$L$45,Rewards!$J$3:$J$45,H$4,Rewards!$K$3:$K$45,H90)+SUMIFS(Rewards!$L$3:$L$45,Rewards!$J$3:$J$45,I$4,Rewards!$K$3:$K$45,I90)+SUMIFS(Rewards!$L$3:$L$45,Rewards!$J$3:$J$45,J$4,Rewards!$K$3:$K$45,J90)+SUMIFS(Rewards!$L$3:$L$45,Rewards!$J$3:$J$45,K$4,Rewards!$K$3:$K$45,K90)+SUMIFS(Rewards!$L$3:$L$45,Rewards!$J$3:$J$45,L$4,Rewards!$K$3:$K$45,L90)+SUMIFS(Rewards!$L$3:$L$45,Rewards!$J$3:$J$45,M$4,Rewards!$K$3:$K$45,M90)+SUMIFS(Rewards!$L$3:$L$45,Rewards!$J$3:$J$45,N$4,Rewards!$K$3:$K$45,N90)</f>
        <v>0</v>
      </c>
      <c r="P90" s="82">
        <f t="shared" si="9"/>
        <v>0</v>
      </c>
      <c r="T90" s="73" t="s">
        <v>137</v>
      </c>
      <c r="U90" s="68">
        <f t="shared" si="11"/>
        <v>0</v>
      </c>
      <c r="V90" s="68">
        <f t="shared" si="11"/>
        <v>0</v>
      </c>
      <c r="W90" s="68">
        <f t="shared" si="11"/>
        <v>0</v>
      </c>
      <c r="X90" s="68">
        <f t="shared" si="11"/>
        <v>0</v>
      </c>
      <c r="Y90" s="68">
        <f t="shared" si="11"/>
        <v>0</v>
      </c>
      <c r="Z90" s="68">
        <f t="shared" si="11"/>
        <v>0</v>
      </c>
      <c r="AA90" s="69">
        <f t="shared" si="11"/>
        <v>0</v>
      </c>
    </row>
    <row r="91" spans="1:27" ht="17.55" customHeight="1">
      <c r="A91" s="50" t="s">
        <v>138</v>
      </c>
      <c r="B91" s="4"/>
      <c r="C91" s="4"/>
      <c r="D91" s="4"/>
      <c r="E91" s="4"/>
      <c r="F91" s="4"/>
      <c r="G91" s="4"/>
      <c r="H91" s="4"/>
      <c r="I91" s="4"/>
      <c r="J91" s="4"/>
      <c r="K91" s="4"/>
      <c r="L91" s="4"/>
      <c r="M91" s="4"/>
      <c r="N91" s="57"/>
      <c r="O91" s="53">
        <f>SUMIFS(Rewards!$L$3:$L$45,Rewards!$J$3:$J$45,B$4,Rewards!$K$3:$K$45,B91)+SUMIFS(Rewards!$L$3:$L$45,Rewards!$J$3:$J$45,C$4,Rewards!$K$3:$K$45,C91)+SUMIFS(Rewards!$L$3:$L$45,Rewards!$J$3:$J$45,D$4,Rewards!$K$3:$K$45,D91)+SUMIFS(Rewards!$L$3:$L$45,Rewards!$J$3:$J$45,E$4,Rewards!$K$3:$K$45,E91)+SUMIFS(Rewards!$L$3:$L$45,Rewards!$J$3:$J$45,F$4,Rewards!$K$3:$K$45,F91)+SUMIFS(Rewards!$L$3:$L$45,Rewards!$J$3:$J$45,G$4,Rewards!$K$3:$K$45,G91)+SUMIFS(Rewards!$L$3:$L$45,Rewards!$J$3:$J$45,H$4,Rewards!$K$3:$K$45,H91)+SUMIFS(Rewards!$L$3:$L$45,Rewards!$J$3:$J$45,I$4,Rewards!$K$3:$K$45,I91)+SUMIFS(Rewards!$L$3:$L$45,Rewards!$J$3:$J$45,J$4,Rewards!$K$3:$K$45,J91)+SUMIFS(Rewards!$L$3:$L$45,Rewards!$J$3:$J$45,K$4,Rewards!$K$3:$K$45,K91)+SUMIFS(Rewards!$L$3:$L$45,Rewards!$J$3:$J$45,L$4,Rewards!$K$3:$K$45,L91)+SUMIFS(Rewards!$L$3:$L$45,Rewards!$J$3:$J$45,M$4,Rewards!$K$3:$K$45,M91)+SUMIFS(Rewards!$L$3:$L$45,Rewards!$J$3:$J$45,N$4,Rewards!$K$3:$K$45,N91)</f>
        <v>0</v>
      </c>
      <c r="P91" s="82">
        <f t="shared" si="9"/>
        <v>0</v>
      </c>
      <c r="T91" s="73" t="s">
        <v>138</v>
      </c>
      <c r="U91" s="68">
        <f t="shared" si="11"/>
        <v>0</v>
      </c>
      <c r="V91" s="68">
        <f t="shared" si="11"/>
        <v>0</v>
      </c>
      <c r="W91" s="68">
        <f t="shared" si="11"/>
        <v>0</v>
      </c>
      <c r="X91" s="68">
        <f t="shared" si="11"/>
        <v>0</v>
      </c>
      <c r="Y91" s="68">
        <f t="shared" si="11"/>
        <v>0</v>
      </c>
      <c r="Z91" s="68">
        <f t="shared" si="11"/>
        <v>0</v>
      </c>
      <c r="AA91" s="69">
        <f t="shared" si="11"/>
        <v>0</v>
      </c>
    </row>
    <row r="92" spans="1:27" ht="17.55" customHeight="1">
      <c r="A92" s="50" t="s">
        <v>139</v>
      </c>
      <c r="B92" s="4"/>
      <c r="C92" s="4"/>
      <c r="D92" s="4"/>
      <c r="E92" s="4"/>
      <c r="F92" s="4"/>
      <c r="G92" s="4"/>
      <c r="H92" s="4"/>
      <c r="I92" s="4"/>
      <c r="J92" s="4"/>
      <c r="K92" s="4"/>
      <c r="L92" s="4"/>
      <c r="M92" s="4"/>
      <c r="N92" s="57"/>
      <c r="O92" s="53">
        <f>SUMIFS(Rewards!$L$3:$L$45,Rewards!$J$3:$J$45,B$4,Rewards!$K$3:$K$45,B92)+SUMIFS(Rewards!$L$3:$L$45,Rewards!$J$3:$J$45,C$4,Rewards!$K$3:$K$45,C92)+SUMIFS(Rewards!$L$3:$L$45,Rewards!$J$3:$J$45,D$4,Rewards!$K$3:$K$45,D92)+SUMIFS(Rewards!$L$3:$L$45,Rewards!$J$3:$J$45,E$4,Rewards!$K$3:$K$45,E92)+SUMIFS(Rewards!$L$3:$L$45,Rewards!$J$3:$J$45,F$4,Rewards!$K$3:$K$45,F92)+SUMIFS(Rewards!$L$3:$L$45,Rewards!$J$3:$J$45,G$4,Rewards!$K$3:$K$45,G92)+SUMIFS(Rewards!$L$3:$L$45,Rewards!$J$3:$J$45,H$4,Rewards!$K$3:$K$45,H92)+SUMIFS(Rewards!$L$3:$L$45,Rewards!$J$3:$J$45,I$4,Rewards!$K$3:$K$45,I92)+SUMIFS(Rewards!$L$3:$L$45,Rewards!$J$3:$J$45,J$4,Rewards!$K$3:$K$45,J92)+SUMIFS(Rewards!$L$3:$L$45,Rewards!$J$3:$J$45,K$4,Rewards!$K$3:$K$45,K92)+SUMIFS(Rewards!$L$3:$L$45,Rewards!$J$3:$J$45,L$4,Rewards!$K$3:$K$45,L92)+SUMIFS(Rewards!$L$3:$L$45,Rewards!$J$3:$J$45,M$4,Rewards!$K$3:$K$45,M92)+SUMIFS(Rewards!$L$3:$L$45,Rewards!$J$3:$J$45,N$4,Rewards!$K$3:$K$45,N92)</f>
        <v>0</v>
      </c>
      <c r="P92" s="82">
        <f t="shared" si="9"/>
        <v>0</v>
      </c>
      <c r="T92" s="73" t="s">
        <v>139</v>
      </c>
      <c r="U92" s="68">
        <f t="shared" si="11"/>
        <v>0</v>
      </c>
      <c r="V92" s="68">
        <f t="shared" si="11"/>
        <v>0</v>
      </c>
      <c r="W92" s="68">
        <f t="shared" si="11"/>
        <v>0</v>
      </c>
      <c r="X92" s="68">
        <f t="shared" si="11"/>
        <v>0</v>
      </c>
      <c r="Y92" s="68">
        <f t="shared" si="11"/>
        <v>0</v>
      </c>
      <c r="Z92" s="68">
        <f t="shared" si="11"/>
        <v>0</v>
      </c>
      <c r="AA92" s="69">
        <f t="shared" si="11"/>
        <v>0</v>
      </c>
    </row>
    <row r="93" spans="1:27" ht="17.55" customHeight="1">
      <c r="A93" s="50" t="s">
        <v>140</v>
      </c>
      <c r="B93" s="4"/>
      <c r="C93" s="4"/>
      <c r="D93" s="4"/>
      <c r="E93" s="4"/>
      <c r="F93" s="4"/>
      <c r="G93" s="4"/>
      <c r="H93" s="4"/>
      <c r="I93" s="4"/>
      <c r="J93" s="4"/>
      <c r="K93" s="4"/>
      <c r="L93" s="4"/>
      <c r="M93" s="4"/>
      <c r="N93" s="57"/>
      <c r="O93" s="53">
        <f>SUMIFS(Rewards!$L$3:$L$45,Rewards!$J$3:$J$45,B$4,Rewards!$K$3:$K$45,B93)+SUMIFS(Rewards!$L$3:$L$45,Rewards!$J$3:$J$45,C$4,Rewards!$K$3:$K$45,C93)+SUMIFS(Rewards!$L$3:$L$45,Rewards!$J$3:$J$45,D$4,Rewards!$K$3:$K$45,D93)+SUMIFS(Rewards!$L$3:$L$45,Rewards!$J$3:$J$45,E$4,Rewards!$K$3:$K$45,E93)+SUMIFS(Rewards!$L$3:$L$45,Rewards!$J$3:$J$45,F$4,Rewards!$K$3:$K$45,F93)+SUMIFS(Rewards!$L$3:$L$45,Rewards!$J$3:$J$45,G$4,Rewards!$K$3:$K$45,G93)+SUMIFS(Rewards!$L$3:$L$45,Rewards!$J$3:$J$45,H$4,Rewards!$K$3:$K$45,H93)+SUMIFS(Rewards!$L$3:$L$45,Rewards!$J$3:$J$45,I$4,Rewards!$K$3:$K$45,I93)+SUMIFS(Rewards!$L$3:$L$45,Rewards!$J$3:$J$45,J$4,Rewards!$K$3:$K$45,J93)+SUMIFS(Rewards!$L$3:$L$45,Rewards!$J$3:$J$45,K$4,Rewards!$K$3:$K$45,K93)+SUMIFS(Rewards!$L$3:$L$45,Rewards!$J$3:$J$45,L$4,Rewards!$K$3:$K$45,L93)+SUMIFS(Rewards!$L$3:$L$45,Rewards!$J$3:$J$45,M$4,Rewards!$K$3:$K$45,M93)+SUMIFS(Rewards!$L$3:$L$45,Rewards!$J$3:$J$45,N$4,Rewards!$K$3:$K$45,N93)</f>
        <v>0</v>
      </c>
      <c r="P93" s="82">
        <f t="shared" si="9"/>
        <v>0</v>
      </c>
      <c r="T93" s="73" t="s">
        <v>140</v>
      </c>
      <c r="U93" s="68">
        <f t="shared" si="11"/>
        <v>0</v>
      </c>
      <c r="V93" s="68">
        <f t="shared" si="11"/>
        <v>0</v>
      </c>
      <c r="W93" s="68">
        <f t="shared" si="11"/>
        <v>0</v>
      </c>
      <c r="X93" s="68">
        <f t="shared" si="11"/>
        <v>0</v>
      </c>
      <c r="Y93" s="68">
        <f t="shared" si="11"/>
        <v>0</v>
      </c>
      <c r="Z93" s="68">
        <f t="shared" si="11"/>
        <v>0</v>
      </c>
      <c r="AA93" s="69">
        <f t="shared" si="11"/>
        <v>0</v>
      </c>
    </row>
    <row r="94" spans="1:27" ht="17.55" customHeight="1">
      <c r="A94" s="50" t="s">
        <v>141</v>
      </c>
      <c r="B94" s="4"/>
      <c r="C94" s="4"/>
      <c r="D94" s="4"/>
      <c r="E94" s="4"/>
      <c r="F94" s="4"/>
      <c r="G94" s="4"/>
      <c r="H94" s="4"/>
      <c r="I94" s="4"/>
      <c r="J94" s="4"/>
      <c r="K94" s="4"/>
      <c r="L94" s="4"/>
      <c r="M94" s="4"/>
      <c r="N94" s="57"/>
      <c r="O94" s="53">
        <f>SUMIFS(Rewards!$L$3:$L$45,Rewards!$J$3:$J$45,B$4,Rewards!$K$3:$K$45,B94)+SUMIFS(Rewards!$L$3:$L$45,Rewards!$J$3:$J$45,C$4,Rewards!$K$3:$K$45,C94)+SUMIFS(Rewards!$L$3:$L$45,Rewards!$J$3:$J$45,D$4,Rewards!$K$3:$K$45,D94)+SUMIFS(Rewards!$L$3:$L$45,Rewards!$J$3:$J$45,E$4,Rewards!$K$3:$K$45,E94)+SUMIFS(Rewards!$L$3:$L$45,Rewards!$J$3:$J$45,F$4,Rewards!$K$3:$K$45,F94)+SUMIFS(Rewards!$L$3:$L$45,Rewards!$J$3:$J$45,G$4,Rewards!$K$3:$K$45,G94)+SUMIFS(Rewards!$L$3:$L$45,Rewards!$J$3:$J$45,H$4,Rewards!$K$3:$K$45,H94)+SUMIFS(Rewards!$L$3:$L$45,Rewards!$J$3:$J$45,I$4,Rewards!$K$3:$K$45,I94)+SUMIFS(Rewards!$L$3:$L$45,Rewards!$J$3:$J$45,J$4,Rewards!$K$3:$K$45,J94)+SUMIFS(Rewards!$L$3:$L$45,Rewards!$J$3:$J$45,K$4,Rewards!$K$3:$K$45,K94)+SUMIFS(Rewards!$L$3:$L$45,Rewards!$J$3:$J$45,L$4,Rewards!$K$3:$K$45,L94)+SUMIFS(Rewards!$L$3:$L$45,Rewards!$J$3:$J$45,M$4,Rewards!$K$3:$K$45,M94)+SUMIFS(Rewards!$L$3:$L$45,Rewards!$J$3:$J$45,N$4,Rewards!$K$3:$K$45,N94)</f>
        <v>0</v>
      </c>
      <c r="P94" s="82">
        <f t="shared" si="9"/>
        <v>0</v>
      </c>
      <c r="T94" s="73" t="s">
        <v>141</v>
      </c>
      <c r="U94" s="68">
        <f t="shared" si="11"/>
        <v>0</v>
      </c>
      <c r="V94" s="68">
        <f t="shared" si="11"/>
        <v>0</v>
      </c>
      <c r="W94" s="68">
        <f t="shared" si="11"/>
        <v>0</v>
      </c>
      <c r="X94" s="68">
        <f t="shared" si="11"/>
        <v>0</v>
      </c>
      <c r="Y94" s="68">
        <f t="shared" si="11"/>
        <v>0</v>
      </c>
      <c r="Z94" s="68">
        <f t="shared" si="11"/>
        <v>0</v>
      </c>
      <c r="AA94" s="69">
        <f t="shared" si="11"/>
        <v>0</v>
      </c>
    </row>
    <row r="95" spans="1:27" ht="17.55" customHeight="1">
      <c r="A95" s="50" t="s">
        <v>142</v>
      </c>
      <c r="B95" s="4"/>
      <c r="C95" s="4"/>
      <c r="D95" s="4"/>
      <c r="E95" s="4"/>
      <c r="F95" s="4"/>
      <c r="G95" s="4"/>
      <c r="H95" s="4"/>
      <c r="I95" s="4"/>
      <c r="J95" s="4"/>
      <c r="K95" s="4"/>
      <c r="L95" s="4"/>
      <c r="M95" s="4"/>
      <c r="N95" s="57"/>
      <c r="O95" s="53">
        <f>SUMIFS(Rewards!$L$3:$L$45,Rewards!$J$3:$J$45,B$4,Rewards!$K$3:$K$45,B95)+SUMIFS(Rewards!$L$3:$L$45,Rewards!$J$3:$J$45,C$4,Rewards!$K$3:$K$45,C95)+SUMIFS(Rewards!$L$3:$L$45,Rewards!$J$3:$J$45,D$4,Rewards!$K$3:$K$45,D95)+SUMIFS(Rewards!$L$3:$L$45,Rewards!$J$3:$J$45,E$4,Rewards!$K$3:$K$45,E95)+SUMIFS(Rewards!$L$3:$L$45,Rewards!$J$3:$J$45,F$4,Rewards!$K$3:$K$45,F95)+SUMIFS(Rewards!$L$3:$L$45,Rewards!$J$3:$J$45,G$4,Rewards!$K$3:$K$45,G95)+SUMIFS(Rewards!$L$3:$L$45,Rewards!$J$3:$J$45,H$4,Rewards!$K$3:$K$45,H95)+SUMIFS(Rewards!$L$3:$L$45,Rewards!$J$3:$J$45,I$4,Rewards!$K$3:$K$45,I95)+SUMIFS(Rewards!$L$3:$L$45,Rewards!$J$3:$J$45,J$4,Rewards!$K$3:$K$45,J95)+SUMIFS(Rewards!$L$3:$L$45,Rewards!$J$3:$J$45,K$4,Rewards!$K$3:$K$45,K95)+SUMIFS(Rewards!$L$3:$L$45,Rewards!$J$3:$J$45,L$4,Rewards!$K$3:$K$45,L95)+SUMIFS(Rewards!$L$3:$L$45,Rewards!$J$3:$J$45,M$4,Rewards!$K$3:$K$45,M95)+SUMIFS(Rewards!$L$3:$L$45,Rewards!$J$3:$J$45,N$4,Rewards!$K$3:$K$45,N95)</f>
        <v>0</v>
      </c>
      <c r="P95" s="82">
        <f t="shared" si="9"/>
        <v>0</v>
      </c>
      <c r="T95" s="73" t="s">
        <v>142</v>
      </c>
      <c r="U95" s="68">
        <f t="shared" ref="U95:AA104" si="12">COUNTIF($B95:$N95,U$4)</f>
        <v>0</v>
      </c>
      <c r="V95" s="68">
        <f t="shared" si="12"/>
        <v>0</v>
      </c>
      <c r="W95" s="68">
        <f t="shared" si="12"/>
        <v>0</v>
      </c>
      <c r="X95" s="68">
        <f t="shared" si="12"/>
        <v>0</v>
      </c>
      <c r="Y95" s="68">
        <f t="shared" si="12"/>
        <v>0</v>
      </c>
      <c r="Z95" s="68">
        <f t="shared" si="12"/>
        <v>0</v>
      </c>
      <c r="AA95" s="69">
        <f t="shared" si="12"/>
        <v>0</v>
      </c>
    </row>
    <row r="96" spans="1:27" ht="17.55" customHeight="1">
      <c r="A96" s="50" t="s">
        <v>143</v>
      </c>
      <c r="B96" s="4"/>
      <c r="C96" s="4"/>
      <c r="D96" s="4"/>
      <c r="E96" s="4"/>
      <c r="F96" s="4"/>
      <c r="G96" s="4"/>
      <c r="H96" s="4"/>
      <c r="I96" s="4"/>
      <c r="J96" s="4"/>
      <c r="K96" s="4"/>
      <c r="L96" s="4"/>
      <c r="M96" s="4"/>
      <c r="N96" s="57"/>
      <c r="O96" s="53">
        <f>SUMIFS(Rewards!$L$3:$L$45,Rewards!$J$3:$J$45,B$4,Rewards!$K$3:$K$45,B96)+SUMIFS(Rewards!$L$3:$L$45,Rewards!$J$3:$J$45,C$4,Rewards!$K$3:$K$45,C96)+SUMIFS(Rewards!$L$3:$L$45,Rewards!$J$3:$J$45,D$4,Rewards!$K$3:$K$45,D96)+SUMIFS(Rewards!$L$3:$L$45,Rewards!$J$3:$J$45,E$4,Rewards!$K$3:$K$45,E96)+SUMIFS(Rewards!$L$3:$L$45,Rewards!$J$3:$J$45,F$4,Rewards!$K$3:$K$45,F96)+SUMIFS(Rewards!$L$3:$L$45,Rewards!$J$3:$J$45,G$4,Rewards!$K$3:$K$45,G96)+SUMIFS(Rewards!$L$3:$L$45,Rewards!$J$3:$J$45,H$4,Rewards!$K$3:$K$45,H96)+SUMIFS(Rewards!$L$3:$L$45,Rewards!$J$3:$J$45,I$4,Rewards!$K$3:$K$45,I96)+SUMIFS(Rewards!$L$3:$L$45,Rewards!$J$3:$J$45,J$4,Rewards!$K$3:$K$45,J96)+SUMIFS(Rewards!$L$3:$L$45,Rewards!$J$3:$J$45,K$4,Rewards!$K$3:$K$45,K96)+SUMIFS(Rewards!$L$3:$L$45,Rewards!$J$3:$J$45,L$4,Rewards!$K$3:$K$45,L96)+SUMIFS(Rewards!$L$3:$L$45,Rewards!$J$3:$J$45,M$4,Rewards!$K$3:$K$45,M96)+SUMIFS(Rewards!$L$3:$L$45,Rewards!$J$3:$J$45,N$4,Rewards!$K$3:$K$45,N96)</f>
        <v>0</v>
      </c>
      <c r="P96" s="82">
        <f t="shared" si="9"/>
        <v>0</v>
      </c>
      <c r="T96" s="73" t="s">
        <v>143</v>
      </c>
      <c r="U96" s="68">
        <f t="shared" si="12"/>
        <v>0</v>
      </c>
      <c r="V96" s="68">
        <f t="shared" si="12"/>
        <v>0</v>
      </c>
      <c r="W96" s="68">
        <f t="shared" si="12"/>
        <v>0</v>
      </c>
      <c r="X96" s="68">
        <f t="shared" si="12"/>
        <v>0</v>
      </c>
      <c r="Y96" s="68">
        <f t="shared" si="12"/>
        <v>0</v>
      </c>
      <c r="Z96" s="68">
        <f t="shared" si="12"/>
        <v>0</v>
      </c>
      <c r="AA96" s="69">
        <f t="shared" si="12"/>
        <v>0</v>
      </c>
    </row>
    <row r="97" spans="1:27" ht="17.55" customHeight="1">
      <c r="A97" s="50" t="s">
        <v>144</v>
      </c>
      <c r="B97" s="4"/>
      <c r="C97" s="4"/>
      <c r="D97" s="4"/>
      <c r="E97" s="4"/>
      <c r="F97" s="4"/>
      <c r="G97" s="4"/>
      <c r="H97" s="4"/>
      <c r="I97" s="4"/>
      <c r="J97" s="4"/>
      <c r="K97" s="4"/>
      <c r="L97" s="4"/>
      <c r="M97" s="4"/>
      <c r="N97" s="57"/>
      <c r="O97" s="53">
        <f>SUMIFS(Rewards!$L$3:$L$45,Rewards!$J$3:$J$45,B$4,Rewards!$K$3:$K$45,B97)+SUMIFS(Rewards!$L$3:$L$45,Rewards!$J$3:$J$45,C$4,Rewards!$K$3:$K$45,C97)+SUMIFS(Rewards!$L$3:$L$45,Rewards!$J$3:$J$45,D$4,Rewards!$K$3:$K$45,D97)+SUMIFS(Rewards!$L$3:$L$45,Rewards!$J$3:$J$45,E$4,Rewards!$K$3:$K$45,E97)+SUMIFS(Rewards!$L$3:$L$45,Rewards!$J$3:$J$45,F$4,Rewards!$K$3:$K$45,F97)+SUMIFS(Rewards!$L$3:$L$45,Rewards!$J$3:$J$45,G$4,Rewards!$K$3:$K$45,G97)+SUMIFS(Rewards!$L$3:$L$45,Rewards!$J$3:$J$45,H$4,Rewards!$K$3:$K$45,H97)+SUMIFS(Rewards!$L$3:$L$45,Rewards!$J$3:$J$45,I$4,Rewards!$K$3:$K$45,I97)+SUMIFS(Rewards!$L$3:$L$45,Rewards!$J$3:$J$45,J$4,Rewards!$K$3:$K$45,J97)+SUMIFS(Rewards!$L$3:$L$45,Rewards!$J$3:$J$45,K$4,Rewards!$K$3:$K$45,K97)+SUMIFS(Rewards!$L$3:$L$45,Rewards!$J$3:$J$45,L$4,Rewards!$K$3:$K$45,L97)+SUMIFS(Rewards!$L$3:$L$45,Rewards!$J$3:$J$45,M$4,Rewards!$K$3:$K$45,M97)+SUMIFS(Rewards!$L$3:$L$45,Rewards!$J$3:$J$45,N$4,Rewards!$K$3:$K$45,N97)</f>
        <v>0</v>
      </c>
      <c r="P97" s="82">
        <f t="shared" si="9"/>
        <v>0</v>
      </c>
      <c r="T97" s="73" t="s">
        <v>144</v>
      </c>
      <c r="U97" s="68">
        <f t="shared" si="12"/>
        <v>0</v>
      </c>
      <c r="V97" s="68">
        <f t="shared" si="12"/>
        <v>0</v>
      </c>
      <c r="W97" s="68">
        <f t="shared" si="12"/>
        <v>0</v>
      </c>
      <c r="X97" s="68">
        <f t="shared" si="12"/>
        <v>0</v>
      </c>
      <c r="Y97" s="68">
        <f t="shared" si="12"/>
        <v>0</v>
      </c>
      <c r="Z97" s="68">
        <f t="shared" si="12"/>
        <v>0</v>
      </c>
      <c r="AA97" s="69">
        <f t="shared" si="12"/>
        <v>0</v>
      </c>
    </row>
    <row r="98" spans="1:27" ht="17.55" customHeight="1">
      <c r="A98" s="50" t="s">
        <v>145</v>
      </c>
      <c r="B98" s="4"/>
      <c r="C98" s="4"/>
      <c r="D98" s="4"/>
      <c r="E98" s="4"/>
      <c r="F98" s="4"/>
      <c r="G98" s="4"/>
      <c r="H98" s="4"/>
      <c r="I98" s="4"/>
      <c r="J98" s="4"/>
      <c r="K98" s="4"/>
      <c r="L98" s="4"/>
      <c r="M98" s="4"/>
      <c r="N98" s="57"/>
      <c r="O98" s="53">
        <f>SUMIFS(Rewards!$L$3:$L$45,Rewards!$J$3:$J$45,B$4,Rewards!$K$3:$K$45,B98)+SUMIFS(Rewards!$L$3:$L$45,Rewards!$J$3:$J$45,C$4,Rewards!$K$3:$K$45,C98)+SUMIFS(Rewards!$L$3:$L$45,Rewards!$J$3:$J$45,D$4,Rewards!$K$3:$K$45,D98)+SUMIFS(Rewards!$L$3:$L$45,Rewards!$J$3:$J$45,E$4,Rewards!$K$3:$K$45,E98)+SUMIFS(Rewards!$L$3:$L$45,Rewards!$J$3:$J$45,F$4,Rewards!$K$3:$K$45,F98)+SUMIFS(Rewards!$L$3:$L$45,Rewards!$J$3:$J$45,G$4,Rewards!$K$3:$K$45,G98)+SUMIFS(Rewards!$L$3:$L$45,Rewards!$J$3:$J$45,H$4,Rewards!$K$3:$K$45,H98)+SUMIFS(Rewards!$L$3:$L$45,Rewards!$J$3:$J$45,I$4,Rewards!$K$3:$K$45,I98)+SUMIFS(Rewards!$L$3:$L$45,Rewards!$J$3:$J$45,J$4,Rewards!$K$3:$K$45,J98)+SUMIFS(Rewards!$L$3:$L$45,Rewards!$J$3:$J$45,K$4,Rewards!$K$3:$K$45,K98)+SUMIFS(Rewards!$L$3:$L$45,Rewards!$J$3:$J$45,L$4,Rewards!$K$3:$K$45,L98)+SUMIFS(Rewards!$L$3:$L$45,Rewards!$J$3:$J$45,M$4,Rewards!$K$3:$K$45,M98)+SUMIFS(Rewards!$L$3:$L$45,Rewards!$J$3:$J$45,N$4,Rewards!$K$3:$K$45,N98)</f>
        <v>0</v>
      </c>
      <c r="P98" s="82">
        <f t="shared" si="9"/>
        <v>0</v>
      </c>
      <c r="T98" s="73" t="s">
        <v>145</v>
      </c>
      <c r="U98" s="68">
        <f t="shared" si="12"/>
        <v>0</v>
      </c>
      <c r="V98" s="68">
        <f t="shared" si="12"/>
        <v>0</v>
      </c>
      <c r="W98" s="68">
        <f t="shared" si="12"/>
        <v>0</v>
      </c>
      <c r="X98" s="68">
        <f t="shared" si="12"/>
        <v>0</v>
      </c>
      <c r="Y98" s="68">
        <f t="shared" si="12"/>
        <v>0</v>
      </c>
      <c r="Z98" s="68">
        <f t="shared" si="12"/>
        <v>0</v>
      </c>
      <c r="AA98" s="69">
        <f t="shared" si="12"/>
        <v>0</v>
      </c>
    </row>
    <row r="99" spans="1:27" ht="17.55" customHeight="1">
      <c r="A99" s="50" t="s">
        <v>146</v>
      </c>
      <c r="B99" s="4"/>
      <c r="C99" s="4"/>
      <c r="D99" s="4"/>
      <c r="E99" s="4"/>
      <c r="F99" s="4"/>
      <c r="G99" s="4"/>
      <c r="H99" s="4"/>
      <c r="I99" s="4"/>
      <c r="J99" s="4"/>
      <c r="K99" s="4"/>
      <c r="L99" s="4"/>
      <c r="M99" s="4"/>
      <c r="N99" s="57"/>
      <c r="O99" s="53">
        <f>SUMIFS(Rewards!$L$3:$L$45,Rewards!$J$3:$J$45,B$4,Rewards!$K$3:$K$45,B99)+SUMIFS(Rewards!$L$3:$L$45,Rewards!$J$3:$J$45,C$4,Rewards!$K$3:$K$45,C99)+SUMIFS(Rewards!$L$3:$L$45,Rewards!$J$3:$J$45,D$4,Rewards!$K$3:$K$45,D99)+SUMIFS(Rewards!$L$3:$L$45,Rewards!$J$3:$J$45,E$4,Rewards!$K$3:$K$45,E99)+SUMIFS(Rewards!$L$3:$L$45,Rewards!$J$3:$J$45,F$4,Rewards!$K$3:$K$45,F99)+SUMIFS(Rewards!$L$3:$L$45,Rewards!$J$3:$J$45,G$4,Rewards!$K$3:$K$45,G99)+SUMIFS(Rewards!$L$3:$L$45,Rewards!$J$3:$J$45,H$4,Rewards!$K$3:$K$45,H99)+SUMIFS(Rewards!$L$3:$L$45,Rewards!$J$3:$J$45,I$4,Rewards!$K$3:$K$45,I99)+SUMIFS(Rewards!$L$3:$L$45,Rewards!$J$3:$J$45,J$4,Rewards!$K$3:$K$45,J99)+SUMIFS(Rewards!$L$3:$L$45,Rewards!$J$3:$J$45,K$4,Rewards!$K$3:$K$45,K99)+SUMIFS(Rewards!$L$3:$L$45,Rewards!$J$3:$J$45,L$4,Rewards!$K$3:$K$45,L99)+SUMIFS(Rewards!$L$3:$L$45,Rewards!$J$3:$J$45,M$4,Rewards!$K$3:$K$45,M99)+SUMIFS(Rewards!$L$3:$L$45,Rewards!$J$3:$J$45,N$4,Rewards!$K$3:$K$45,N99)</f>
        <v>0</v>
      </c>
      <c r="P99" s="82">
        <f t="shared" si="9"/>
        <v>0</v>
      </c>
      <c r="T99" s="73" t="s">
        <v>146</v>
      </c>
      <c r="U99" s="68">
        <f t="shared" si="12"/>
        <v>0</v>
      </c>
      <c r="V99" s="68">
        <f t="shared" si="12"/>
        <v>0</v>
      </c>
      <c r="W99" s="68">
        <f t="shared" si="12"/>
        <v>0</v>
      </c>
      <c r="X99" s="68">
        <f t="shared" si="12"/>
        <v>0</v>
      </c>
      <c r="Y99" s="68">
        <f t="shared" si="12"/>
        <v>0</v>
      </c>
      <c r="Z99" s="68">
        <f t="shared" si="12"/>
        <v>0</v>
      </c>
      <c r="AA99" s="69">
        <f t="shared" si="12"/>
        <v>0</v>
      </c>
    </row>
    <row r="100" spans="1:27" ht="17.55" customHeight="1">
      <c r="A100" s="50" t="s">
        <v>147</v>
      </c>
      <c r="B100" s="4"/>
      <c r="C100" s="4"/>
      <c r="D100" s="4"/>
      <c r="E100" s="4"/>
      <c r="F100" s="4"/>
      <c r="G100" s="4"/>
      <c r="H100" s="4"/>
      <c r="I100" s="4"/>
      <c r="J100" s="4"/>
      <c r="K100" s="4"/>
      <c r="L100" s="4"/>
      <c r="M100" s="4"/>
      <c r="N100" s="57"/>
      <c r="O100" s="53">
        <f>SUMIFS(Rewards!$L$3:$L$45,Rewards!$J$3:$J$45,B$4,Rewards!$K$3:$K$45,B100)+SUMIFS(Rewards!$L$3:$L$45,Rewards!$J$3:$J$45,C$4,Rewards!$K$3:$K$45,C100)+SUMIFS(Rewards!$L$3:$L$45,Rewards!$J$3:$J$45,D$4,Rewards!$K$3:$K$45,D100)+SUMIFS(Rewards!$L$3:$L$45,Rewards!$J$3:$J$45,E$4,Rewards!$K$3:$K$45,E100)+SUMIFS(Rewards!$L$3:$L$45,Rewards!$J$3:$J$45,F$4,Rewards!$K$3:$K$45,F100)+SUMIFS(Rewards!$L$3:$L$45,Rewards!$J$3:$J$45,G$4,Rewards!$K$3:$K$45,G100)+SUMIFS(Rewards!$L$3:$L$45,Rewards!$J$3:$J$45,H$4,Rewards!$K$3:$K$45,H100)+SUMIFS(Rewards!$L$3:$L$45,Rewards!$J$3:$J$45,I$4,Rewards!$K$3:$K$45,I100)+SUMIFS(Rewards!$L$3:$L$45,Rewards!$J$3:$J$45,J$4,Rewards!$K$3:$K$45,J100)+SUMIFS(Rewards!$L$3:$L$45,Rewards!$J$3:$J$45,K$4,Rewards!$K$3:$K$45,K100)+SUMIFS(Rewards!$L$3:$L$45,Rewards!$J$3:$J$45,L$4,Rewards!$K$3:$K$45,L100)+SUMIFS(Rewards!$L$3:$L$45,Rewards!$J$3:$J$45,M$4,Rewards!$K$3:$K$45,M100)+SUMIFS(Rewards!$L$3:$L$45,Rewards!$J$3:$J$45,N$4,Rewards!$K$3:$K$45,N100)</f>
        <v>0</v>
      </c>
      <c r="P100" s="82">
        <f t="shared" si="9"/>
        <v>0</v>
      </c>
      <c r="T100" s="73" t="s">
        <v>147</v>
      </c>
      <c r="U100" s="68">
        <f t="shared" si="12"/>
        <v>0</v>
      </c>
      <c r="V100" s="68">
        <f t="shared" si="12"/>
        <v>0</v>
      </c>
      <c r="W100" s="68">
        <f t="shared" si="12"/>
        <v>0</v>
      </c>
      <c r="X100" s="68">
        <f t="shared" si="12"/>
        <v>0</v>
      </c>
      <c r="Y100" s="68">
        <f t="shared" si="12"/>
        <v>0</v>
      </c>
      <c r="Z100" s="68">
        <f t="shared" si="12"/>
        <v>0</v>
      </c>
      <c r="AA100" s="69">
        <f t="shared" si="12"/>
        <v>0</v>
      </c>
    </row>
    <row r="101" spans="1:27" ht="17.55" customHeight="1">
      <c r="A101" s="50" t="s">
        <v>148</v>
      </c>
      <c r="B101" s="4"/>
      <c r="C101" s="4"/>
      <c r="D101" s="4"/>
      <c r="E101" s="4"/>
      <c r="F101" s="4"/>
      <c r="G101" s="4"/>
      <c r="H101" s="4"/>
      <c r="I101" s="4"/>
      <c r="J101" s="4"/>
      <c r="K101" s="4"/>
      <c r="L101" s="4"/>
      <c r="M101" s="4"/>
      <c r="N101" s="57"/>
      <c r="O101" s="53">
        <f>SUMIFS(Rewards!$L$3:$L$45,Rewards!$J$3:$J$45,B$4,Rewards!$K$3:$K$45,B101)+SUMIFS(Rewards!$L$3:$L$45,Rewards!$J$3:$J$45,C$4,Rewards!$K$3:$K$45,C101)+SUMIFS(Rewards!$L$3:$L$45,Rewards!$J$3:$J$45,D$4,Rewards!$K$3:$K$45,D101)+SUMIFS(Rewards!$L$3:$L$45,Rewards!$J$3:$J$45,E$4,Rewards!$K$3:$K$45,E101)+SUMIFS(Rewards!$L$3:$L$45,Rewards!$J$3:$J$45,F$4,Rewards!$K$3:$K$45,F101)+SUMIFS(Rewards!$L$3:$L$45,Rewards!$J$3:$J$45,G$4,Rewards!$K$3:$K$45,G101)+SUMIFS(Rewards!$L$3:$L$45,Rewards!$J$3:$J$45,H$4,Rewards!$K$3:$K$45,H101)+SUMIFS(Rewards!$L$3:$L$45,Rewards!$J$3:$J$45,I$4,Rewards!$K$3:$K$45,I101)+SUMIFS(Rewards!$L$3:$L$45,Rewards!$J$3:$J$45,J$4,Rewards!$K$3:$K$45,J101)+SUMIFS(Rewards!$L$3:$L$45,Rewards!$J$3:$J$45,K$4,Rewards!$K$3:$K$45,K101)+SUMIFS(Rewards!$L$3:$L$45,Rewards!$J$3:$J$45,L$4,Rewards!$K$3:$K$45,L101)+SUMIFS(Rewards!$L$3:$L$45,Rewards!$J$3:$J$45,M$4,Rewards!$K$3:$K$45,M101)+SUMIFS(Rewards!$L$3:$L$45,Rewards!$J$3:$J$45,N$4,Rewards!$K$3:$K$45,N101)</f>
        <v>0</v>
      </c>
      <c r="P101" s="82">
        <f t="shared" si="9"/>
        <v>0</v>
      </c>
      <c r="T101" s="73" t="s">
        <v>148</v>
      </c>
      <c r="U101" s="68">
        <f t="shared" si="12"/>
        <v>0</v>
      </c>
      <c r="V101" s="68">
        <f t="shared" si="12"/>
        <v>0</v>
      </c>
      <c r="W101" s="68">
        <f t="shared" si="12"/>
        <v>0</v>
      </c>
      <c r="X101" s="68">
        <f t="shared" si="12"/>
        <v>0</v>
      </c>
      <c r="Y101" s="68">
        <f t="shared" si="12"/>
        <v>0</v>
      </c>
      <c r="Z101" s="68">
        <f t="shared" si="12"/>
        <v>0</v>
      </c>
      <c r="AA101" s="69">
        <f t="shared" si="12"/>
        <v>0</v>
      </c>
    </row>
    <row r="102" spans="1:27" ht="17.55" customHeight="1">
      <c r="A102" s="50" t="s">
        <v>149</v>
      </c>
      <c r="B102" s="4"/>
      <c r="C102" s="4"/>
      <c r="D102" s="4"/>
      <c r="E102" s="4"/>
      <c r="F102" s="4"/>
      <c r="G102" s="4"/>
      <c r="H102" s="4"/>
      <c r="I102" s="4"/>
      <c r="J102" s="4"/>
      <c r="K102" s="4"/>
      <c r="L102" s="4"/>
      <c r="M102" s="4"/>
      <c r="N102" s="57"/>
      <c r="O102" s="53">
        <f>SUMIFS(Rewards!$L$3:$L$45,Rewards!$J$3:$J$45,B$4,Rewards!$K$3:$K$45,B102)+SUMIFS(Rewards!$L$3:$L$45,Rewards!$J$3:$J$45,C$4,Rewards!$K$3:$K$45,C102)+SUMIFS(Rewards!$L$3:$L$45,Rewards!$J$3:$J$45,D$4,Rewards!$K$3:$K$45,D102)+SUMIFS(Rewards!$L$3:$L$45,Rewards!$J$3:$J$45,E$4,Rewards!$K$3:$K$45,E102)+SUMIFS(Rewards!$L$3:$L$45,Rewards!$J$3:$J$45,F$4,Rewards!$K$3:$K$45,F102)+SUMIFS(Rewards!$L$3:$L$45,Rewards!$J$3:$J$45,G$4,Rewards!$K$3:$K$45,G102)+SUMIFS(Rewards!$L$3:$L$45,Rewards!$J$3:$J$45,H$4,Rewards!$K$3:$K$45,H102)+SUMIFS(Rewards!$L$3:$L$45,Rewards!$J$3:$J$45,I$4,Rewards!$K$3:$K$45,I102)+SUMIFS(Rewards!$L$3:$L$45,Rewards!$J$3:$J$45,J$4,Rewards!$K$3:$K$45,J102)+SUMIFS(Rewards!$L$3:$L$45,Rewards!$J$3:$J$45,K$4,Rewards!$K$3:$K$45,K102)+SUMIFS(Rewards!$L$3:$L$45,Rewards!$J$3:$J$45,L$4,Rewards!$K$3:$K$45,L102)+SUMIFS(Rewards!$L$3:$L$45,Rewards!$J$3:$J$45,M$4,Rewards!$K$3:$K$45,M102)+SUMIFS(Rewards!$L$3:$L$45,Rewards!$J$3:$J$45,N$4,Rewards!$K$3:$K$45,N102)</f>
        <v>0</v>
      </c>
      <c r="P102" s="82">
        <f t="shared" si="9"/>
        <v>0</v>
      </c>
      <c r="T102" s="73" t="s">
        <v>149</v>
      </c>
      <c r="U102" s="68">
        <f t="shared" si="12"/>
        <v>0</v>
      </c>
      <c r="V102" s="68">
        <f t="shared" si="12"/>
        <v>0</v>
      </c>
      <c r="W102" s="68">
        <f t="shared" si="12"/>
        <v>0</v>
      </c>
      <c r="X102" s="68">
        <f t="shared" si="12"/>
        <v>0</v>
      </c>
      <c r="Y102" s="68">
        <f t="shared" si="12"/>
        <v>0</v>
      </c>
      <c r="Z102" s="68">
        <f t="shared" si="12"/>
        <v>0</v>
      </c>
      <c r="AA102" s="69">
        <f t="shared" si="12"/>
        <v>0</v>
      </c>
    </row>
    <row r="103" spans="1:27" ht="17.55" customHeight="1">
      <c r="A103" s="50" t="s">
        <v>150</v>
      </c>
      <c r="B103" s="4"/>
      <c r="C103" s="4"/>
      <c r="D103" s="4"/>
      <c r="E103" s="4"/>
      <c r="F103" s="4"/>
      <c r="G103" s="4"/>
      <c r="H103" s="4"/>
      <c r="I103" s="4"/>
      <c r="J103" s="4"/>
      <c r="K103" s="4"/>
      <c r="L103" s="4"/>
      <c r="M103" s="4"/>
      <c r="N103" s="57"/>
      <c r="O103" s="53">
        <f>SUMIFS(Rewards!$L$3:$L$45,Rewards!$J$3:$J$45,B$4,Rewards!$K$3:$K$45,B103)+SUMIFS(Rewards!$L$3:$L$45,Rewards!$J$3:$J$45,C$4,Rewards!$K$3:$K$45,C103)+SUMIFS(Rewards!$L$3:$L$45,Rewards!$J$3:$J$45,D$4,Rewards!$K$3:$K$45,D103)+SUMIFS(Rewards!$L$3:$L$45,Rewards!$J$3:$J$45,E$4,Rewards!$K$3:$K$45,E103)+SUMIFS(Rewards!$L$3:$L$45,Rewards!$J$3:$J$45,F$4,Rewards!$K$3:$K$45,F103)+SUMIFS(Rewards!$L$3:$L$45,Rewards!$J$3:$J$45,G$4,Rewards!$K$3:$K$45,G103)+SUMIFS(Rewards!$L$3:$L$45,Rewards!$J$3:$J$45,H$4,Rewards!$K$3:$K$45,H103)+SUMIFS(Rewards!$L$3:$L$45,Rewards!$J$3:$J$45,I$4,Rewards!$K$3:$K$45,I103)+SUMIFS(Rewards!$L$3:$L$45,Rewards!$J$3:$J$45,J$4,Rewards!$K$3:$K$45,J103)+SUMIFS(Rewards!$L$3:$L$45,Rewards!$J$3:$J$45,K$4,Rewards!$K$3:$K$45,K103)+SUMIFS(Rewards!$L$3:$L$45,Rewards!$J$3:$J$45,L$4,Rewards!$K$3:$K$45,L103)+SUMIFS(Rewards!$L$3:$L$45,Rewards!$J$3:$J$45,M$4,Rewards!$K$3:$K$45,M103)+SUMIFS(Rewards!$L$3:$L$45,Rewards!$J$3:$J$45,N$4,Rewards!$K$3:$K$45,N103)</f>
        <v>0</v>
      </c>
      <c r="P103" s="82">
        <f t="shared" si="9"/>
        <v>0</v>
      </c>
      <c r="T103" s="73" t="s">
        <v>150</v>
      </c>
      <c r="U103" s="68">
        <f t="shared" si="12"/>
        <v>0</v>
      </c>
      <c r="V103" s="68">
        <f t="shared" si="12"/>
        <v>0</v>
      </c>
      <c r="W103" s="68">
        <f t="shared" si="12"/>
        <v>0</v>
      </c>
      <c r="X103" s="68">
        <f t="shared" si="12"/>
        <v>0</v>
      </c>
      <c r="Y103" s="68">
        <f t="shared" si="12"/>
        <v>0</v>
      </c>
      <c r="Z103" s="68">
        <f t="shared" si="12"/>
        <v>0</v>
      </c>
      <c r="AA103" s="69">
        <f t="shared" si="12"/>
        <v>0</v>
      </c>
    </row>
    <row r="104" spans="1:27" ht="17.55" customHeight="1">
      <c r="A104" s="51" t="s">
        <v>151</v>
      </c>
      <c r="B104" s="49"/>
      <c r="C104" s="49"/>
      <c r="D104" s="49"/>
      <c r="E104" s="49"/>
      <c r="F104" s="49"/>
      <c r="G104" s="49"/>
      <c r="H104" s="49"/>
      <c r="I104" s="49"/>
      <c r="J104" s="49"/>
      <c r="K104" s="49"/>
      <c r="L104" s="49"/>
      <c r="M104" s="49"/>
      <c r="N104" s="58"/>
      <c r="O104" s="54">
        <f>SUMIFS(Rewards!$L$3:$L$45,Rewards!$J$3:$J$45,B$4,Rewards!$K$3:$K$45,B104)+SUMIFS(Rewards!$L$3:$L$45,Rewards!$J$3:$J$45,C$4,Rewards!$K$3:$K$45,C104)+SUMIFS(Rewards!$L$3:$L$45,Rewards!$J$3:$J$45,D$4,Rewards!$K$3:$K$45,D104)+SUMIFS(Rewards!$L$3:$L$45,Rewards!$J$3:$J$45,E$4,Rewards!$K$3:$K$45,E104)+SUMIFS(Rewards!$L$3:$L$45,Rewards!$J$3:$J$45,F$4,Rewards!$K$3:$K$45,F104)+SUMIFS(Rewards!$L$3:$L$45,Rewards!$J$3:$J$45,G$4,Rewards!$K$3:$K$45,G104)+SUMIFS(Rewards!$L$3:$L$45,Rewards!$J$3:$J$45,H$4,Rewards!$K$3:$K$45,H104)+SUMIFS(Rewards!$L$3:$L$45,Rewards!$J$3:$J$45,I$4,Rewards!$K$3:$K$45,I104)+SUMIFS(Rewards!$L$3:$L$45,Rewards!$J$3:$J$45,J$4,Rewards!$K$3:$K$45,J104)+SUMIFS(Rewards!$L$3:$L$45,Rewards!$J$3:$J$45,K$4,Rewards!$K$3:$K$45,K104)+SUMIFS(Rewards!$L$3:$L$45,Rewards!$J$3:$J$45,L$4,Rewards!$K$3:$K$45,L104)+SUMIFS(Rewards!$L$3:$L$45,Rewards!$J$3:$J$45,M$4,Rewards!$K$3:$K$45,M104)+SUMIFS(Rewards!$L$3:$L$45,Rewards!$J$3:$J$45,N$4,Rewards!$K$3:$K$45,N104)</f>
        <v>0</v>
      </c>
      <c r="P104" s="82">
        <f t="shared" si="9"/>
        <v>0</v>
      </c>
      <c r="T104" s="74" t="s">
        <v>151</v>
      </c>
      <c r="U104" s="70">
        <f t="shared" si="12"/>
        <v>0</v>
      </c>
      <c r="V104" s="70">
        <f t="shared" si="12"/>
        <v>0</v>
      </c>
      <c r="W104" s="70">
        <f t="shared" si="12"/>
        <v>0</v>
      </c>
      <c r="X104" s="70">
        <f t="shared" si="12"/>
        <v>0</v>
      </c>
      <c r="Y104" s="70">
        <f t="shared" si="12"/>
        <v>0</v>
      </c>
      <c r="Z104" s="70">
        <f t="shared" si="12"/>
        <v>0</v>
      </c>
      <c r="AA104" s="71">
        <f t="shared" si="12"/>
        <v>0</v>
      </c>
    </row>
  </sheetData>
  <mergeCells count="4">
    <mergeCell ref="A1:O1"/>
    <mergeCell ref="A2:O2"/>
    <mergeCell ref="Q1:R1"/>
    <mergeCell ref="Q6:R6"/>
  </mergeCells>
  <conditionalFormatting sqref="B5:N104">
    <cfRule type="expression" dxfId="14" priority="1">
      <formula>B5="Void"</formula>
    </cfRule>
    <cfRule type="expression" dxfId="13" priority="2">
      <formula>B5="Origin"</formula>
    </cfRule>
    <cfRule type="expression" dxfId="12" priority="3">
      <formula>B5="DT"</formula>
    </cfRule>
    <cfRule type="expression" dxfId="11" priority="4">
      <formula>B5="Star Soul"</formula>
    </cfRule>
    <cfRule type="expression" dxfId="10" priority="5">
      <formula>B5="Artifacts"</formula>
    </cfRule>
    <cfRule type="expression" dxfId="9" priority="6">
      <formula>B5="Origin Artifacts"</formula>
    </cfRule>
    <cfRule type="expression" dxfId="8" priority="7">
      <formula>B5="Grim"</formula>
    </cfRule>
  </conditionalFormatting>
  <conditionalFormatting sqref="N5:N104">
    <cfRule type="expression" dxfId="7" priority="9">
      <formula>AND(N5&lt;&gt;"",COUNTBLANK($B5:$M5)&gt;0)</formula>
    </cfRule>
  </conditionalFormatting>
  <conditionalFormatting sqref="O5:O104">
    <cfRule type="dataBar" priority="8">
      <dataBar>
        <cfvo type="min"/>
        <cfvo type="max"/>
        <color rgb="FF1F4E79"/>
      </dataBar>
      <extLst>
        <ext xmlns:x14="http://schemas.microsoft.com/office/spreadsheetml/2009/9/main" uri="{B025F937-C7B1-47D3-B67F-A62EFF666E3E}">
          <x14:id>{0E8B653A-7D56-39EB-2950-D6C07A2AC875}</x14:id>
        </ext>
      </extLst>
    </cfRule>
  </conditionalFormatting>
  <dataValidations count="13">
    <dataValidation type="list" errorStyle="warning" allowBlank="1" showErrorMessage="1" errorTitle="Invalid reward" error="Choose one of the available rewards for Floor 1." sqref="B5:B104" xr:uid="{00000000-0002-0000-0100-000000000000}">
      <formula1>"Artifacts,Void,Origin"</formula1>
    </dataValidation>
    <dataValidation type="list" errorStyle="warning" allowBlank="1" showErrorMessage="1" errorTitle="Invalid reward" error="Choose one of the available rewards for Floor 2." sqref="C5:C104" xr:uid="{00000000-0002-0000-0100-000001000000}">
      <formula1>"Artifacts,Void,Origin"</formula1>
    </dataValidation>
    <dataValidation type="list" errorStyle="warning" allowBlank="1" showErrorMessage="1" errorTitle="Invalid reward" error="Choose one of the available rewards for Floor 3." sqref="D5:D104" xr:uid="{00000000-0002-0000-0100-000002000000}">
      <formula1>"Artifacts,Void,Origin"</formula1>
    </dataValidation>
    <dataValidation type="list" errorStyle="warning" allowBlank="1" showErrorMessage="1" errorTitle="Invalid reward" error="Choose one of the available rewards for Floor 4." sqref="E5:E104" xr:uid="{00000000-0002-0000-0100-000003000000}">
      <formula1>"Origin Artifacts,Void,DT"</formula1>
    </dataValidation>
    <dataValidation type="list" errorStyle="warning" allowBlank="1" showErrorMessage="1" errorTitle="Invalid reward" error="Choose one of the available rewards for Floor 5." sqref="F5:F104" xr:uid="{00000000-0002-0000-0100-000004000000}">
      <formula1>"Origin Artifacts,Void,DT"</formula1>
    </dataValidation>
    <dataValidation type="list" errorStyle="warning" allowBlank="1" showErrorMessage="1" errorTitle="Invalid reward" error="Choose one of the available rewards for Floor 6." sqref="G5:G104" xr:uid="{00000000-0002-0000-0100-000005000000}">
      <formula1>"DT,Origin,Star Soul"</formula1>
    </dataValidation>
    <dataValidation type="list" errorStyle="warning" allowBlank="1" showErrorMessage="1" errorTitle="Invalid reward" error="Choose one of the available rewards for Floor 7." sqref="H5:H104" xr:uid="{00000000-0002-0000-0100-000006000000}">
      <formula1>"Artifacts,Grim,Origin"</formula1>
    </dataValidation>
    <dataValidation type="list" errorStyle="warning" allowBlank="1" showErrorMessage="1" errorTitle="Invalid reward" error="Choose one of the available rewards for Floor 8." sqref="I5:I104" xr:uid="{00000000-0002-0000-0100-000007000000}">
      <formula1>"Artifacts,Void,Origin"</formula1>
    </dataValidation>
    <dataValidation type="list" errorStyle="warning" allowBlank="1" showErrorMessage="1" errorTitle="Invalid reward" error="Choose one of the available rewards for Floor 9." sqref="J5:J104" xr:uid="{00000000-0002-0000-0100-000008000000}">
      <formula1>"Artifacts,Void,Origin"</formula1>
    </dataValidation>
    <dataValidation type="list" errorStyle="warning" allowBlank="1" showErrorMessage="1" errorTitle="Invalid reward" error="Choose one of the available rewards for Floor 10." sqref="K5:K104" xr:uid="{00000000-0002-0000-0100-000009000000}">
      <formula1>"Origin Artifacts,Grim,DT"</formula1>
    </dataValidation>
    <dataValidation type="list" errorStyle="warning" allowBlank="1" showErrorMessage="1" errorTitle="Invalid reward" error="Choose one of the available rewards for Floor 11." sqref="L5:L104" xr:uid="{00000000-0002-0000-0100-00000A000000}">
      <formula1>"Origin Artifacts,Void,DT"</formula1>
    </dataValidation>
    <dataValidation type="list" errorStyle="warning" allowBlank="1" showErrorMessage="1" errorTitle="Invalid reward" error="Choose one of the available rewards for Floor 12." sqref="M5:M104" xr:uid="{00000000-0002-0000-0100-00000B000000}">
      <formula1>"DT,Origin,Star Soul"</formula1>
    </dataValidation>
    <dataValidation type="list" errorStyle="warning" allowBlank="1" showErrorMessage="1" errorTitle="Invalid free reward" error="Choose any reward type for Floor 13 - Free." sqref="N5:N104" xr:uid="{00000000-0002-0000-0100-00000C000000}">
      <formula1>"Void,Origin,DT,Star Soul,Artifacts,Origin Artifacts,Grim"</formula1>
    </dataValidation>
  </dataValidations>
  <pageMargins left="0.7" right="0.7" top="0.75" bottom="0.75" header="0.3" footer="0.3"/>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dataBar" id="{0E8B653A-7D56-39EB-2950-D6C07A2AC875}">
            <x14:dataBar>
              <x14:cfvo type="min"/>
              <x14:cfvo type="max"/>
              <x14:negativeFillColor auto="1"/>
              <x14:axisColor auto="1"/>
            </x14:dataBar>
          </x14:cfRule>
          <xm:sqref>O5:O104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40"/>
  <sheetViews>
    <sheetView tabSelected="1" topLeftCell="A4" workbookViewId="0">
      <selection activeCell="V19" sqref="V19"/>
    </sheetView>
  </sheetViews>
  <sheetFormatPr defaultRowHeight="13.8"/>
  <cols>
    <col min="1" max="1" width="19" customWidth="1"/>
    <col min="2" max="2" width="13.796875" customWidth="1"/>
    <col min="3" max="3" width="7" customWidth="1"/>
    <col min="4" max="4" width="15.69921875" customWidth="1"/>
    <col min="5" max="5" width="7" customWidth="1"/>
    <col min="6" max="6" width="13" customWidth="1"/>
    <col min="7" max="7" width="7" customWidth="1"/>
    <col min="8" max="8" width="13" customWidth="1"/>
    <col min="9" max="9" width="7" customWidth="1"/>
    <col min="10" max="10" width="13" customWidth="1"/>
    <col min="11" max="11" width="7" customWidth="1"/>
    <col min="12" max="12" width="16" customWidth="1"/>
    <col min="13" max="19" width="15" customWidth="1"/>
    <col min="20" max="20" width="2" customWidth="1"/>
  </cols>
  <sheetData>
    <row r="1" spans="1:20" ht="24" customHeight="1">
      <c r="A1" s="122" t="s">
        <v>152</v>
      </c>
      <c r="B1" s="122"/>
      <c r="C1" s="122"/>
      <c r="D1" s="122"/>
      <c r="E1" s="122"/>
      <c r="F1" s="122"/>
      <c r="G1" s="122"/>
      <c r="H1" s="122"/>
      <c r="I1" s="122"/>
      <c r="J1" s="122"/>
      <c r="K1" s="122"/>
      <c r="L1" s="122"/>
      <c r="M1" s="122"/>
      <c r="N1" s="122"/>
      <c r="O1" s="122"/>
      <c r="P1" s="122"/>
      <c r="Q1" s="122"/>
      <c r="R1" s="122"/>
      <c r="S1" s="122"/>
      <c r="T1" s="122"/>
    </row>
    <row r="2" spans="1:20" ht="27.15" customHeight="1">
      <c r="A2" s="123" t="s">
        <v>153</v>
      </c>
      <c r="B2" s="123"/>
      <c r="C2" s="123"/>
      <c r="D2" s="123"/>
      <c r="E2" s="123"/>
      <c r="F2" s="123"/>
      <c r="G2" s="123"/>
      <c r="H2" s="123"/>
      <c r="I2" s="123"/>
      <c r="J2" s="123"/>
      <c r="K2" s="123"/>
      <c r="L2" s="123"/>
      <c r="M2" s="123"/>
      <c r="N2" s="123"/>
      <c r="O2" s="123"/>
      <c r="P2" s="123"/>
      <c r="Q2" s="123"/>
      <c r="R2" s="123"/>
      <c r="S2" s="123"/>
      <c r="T2" s="123"/>
    </row>
    <row r="3" spans="1:20" ht="17.55" customHeight="1">
      <c r="A3" s="85" t="s">
        <v>154</v>
      </c>
      <c r="B3" s="121" t="s">
        <v>155</v>
      </c>
      <c r="C3" s="121"/>
      <c r="D3" s="121"/>
      <c r="E3" s="121"/>
      <c r="F3" s="121"/>
      <c r="G3" s="121"/>
      <c r="H3" s="121"/>
      <c r="I3" s="121"/>
      <c r="J3" s="121"/>
      <c r="K3" s="121"/>
      <c r="L3" s="85" t="s">
        <v>156</v>
      </c>
      <c r="M3" s="121" t="s">
        <v>157</v>
      </c>
      <c r="N3" s="121"/>
      <c r="O3" s="121"/>
      <c r="P3" s="121"/>
      <c r="Q3" s="121"/>
      <c r="R3" s="121"/>
      <c r="S3" s="121"/>
    </row>
    <row r="4" spans="1:20" ht="17.55" customHeight="1">
      <c r="A4" s="86" t="s">
        <v>154</v>
      </c>
      <c r="B4" s="86" t="s">
        <v>50</v>
      </c>
      <c r="C4" s="86" t="s">
        <v>178</v>
      </c>
      <c r="D4" s="86" t="s">
        <v>51</v>
      </c>
      <c r="E4" s="86" t="s">
        <v>178</v>
      </c>
      <c r="F4" s="86" t="s">
        <v>53</v>
      </c>
      <c r="G4" s="86" t="s">
        <v>178</v>
      </c>
      <c r="H4" s="86" t="s">
        <v>55</v>
      </c>
      <c r="I4" s="86" t="s">
        <v>178</v>
      </c>
      <c r="J4" s="86" t="s">
        <v>56</v>
      </c>
      <c r="K4" s="86" t="s">
        <v>178</v>
      </c>
      <c r="L4" s="89" t="s">
        <v>158</v>
      </c>
      <c r="M4" s="89" t="s">
        <v>14</v>
      </c>
      <c r="N4" s="102" t="s">
        <v>15</v>
      </c>
      <c r="O4" s="104" t="s">
        <v>17</v>
      </c>
      <c r="P4" s="100" t="s">
        <v>20</v>
      </c>
      <c r="Q4" s="98" t="s">
        <v>13</v>
      </c>
      <c r="R4" s="98" t="s">
        <v>19</v>
      </c>
      <c r="S4" s="96" t="s">
        <v>23</v>
      </c>
    </row>
    <row r="5" spans="1:20" ht="17.55" customHeight="1">
      <c r="A5" s="87" t="s">
        <v>186</v>
      </c>
      <c r="B5" s="88" t="s">
        <v>179</v>
      </c>
      <c r="C5" s="88">
        <v>6</v>
      </c>
      <c r="D5" s="88"/>
      <c r="E5" s="88"/>
      <c r="F5" s="88"/>
      <c r="G5" s="88"/>
      <c r="H5" s="88"/>
      <c r="I5" s="88"/>
      <c r="J5" s="88"/>
      <c r="K5" s="88"/>
      <c r="L5" s="90">
        <f>SUM(IFERROR(N($C5)*N(INDEX(Options!$P$5:$P$104,MATCH($B5,Options!$A$5:$A$104,0))),0),IFERROR(N($E5)*N(INDEX(Options!$P$5:$P$104,MATCH($D5,Options!$A$5:$A$104,0))),0),IFERROR(N($G5)*N(INDEX(Options!$P$5:$P$104,MATCH($F5,Options!$A$5:$A$104,0))),0),IFERROR(N($I5)*N(INDEX(Options!$P$5:$P$104,MATCH($H5,Options!$A$5:$A$104,0))),0),IFERROR(N($K5)*N(INDEX(Options!$P$5:$P$104,MATCH($J5,Options!$A$5:$A$104,0))),0))</f>
        <v>16500</v>
      </c>
      <c r="M5" s="90">
        <f>SUM(IFERROR(N($C5)*INDEX(Options!$U$5:$AA$104,MATCH($B5,Options!$A$5:$A$104,0),MATCH(M$4,Options!$U$4:$AA$4,0)),0),IFERROR(N($E5)*INDEX(Options!$U$5:$AA$104,MATCH($D5,Options!$A$5:$A$104,0),MATCH(M$4,Options!$U$4:$AA$4,0)),0),IFERROR(N($G5)*INDEX(Options!$U$5:$AA$104,MATCH($F5,Options!$A$5:$A$104,0),MATCH(M$4,Options!$U$4:$AA$4,0)),0),IFERROR(N($I5)*INDEX(Options!$U$5:$AA$104,MATCH($H5,Options!$A$5:$A$104,0),MATCH(M$4,Options!$U$4:$AA$4,0)),0),IFERROR(N($K5)*INDEX(Options!$U$5:$AA$104,MATCH($J5,Options!$A$5:$A$104,0),MATCH(M$4,Options!$U$4:$AA$4,0)),0))</f>
        <v>18</v>
      </c>
      <c r="N5" s="103">
        <f>SUM(IFERROR(N($C5)*INDEX(Options!$U$5:$AA$104,MATCH($B5,Options!$A$5:$A$104,0),MATCH(N$4,Options!$U$4:$AA$4,0)),0),IFERROR(N($E5)*INDEX(Options!$U$5:$AA$104,MATCH($D5,Options!$A$5:$A$104,0),MATCH(N$4,Options!$U$4:$AA$4,0)),0),IFERROR(N($G5)*INDEX(Options!$U$5:$AA$104,MATCH($F5,Options!$A$5:$A$104,0),MATCH(N$4,Options!$U$4:$AA$4,0)),0),IFERROR(N($I5)*INDEX(Options!$U$5:$AA$104,MATCH($H5,Options!$A$5:$A$104,0),MATCH(N$4,Options!$U$4:$AA$4,0)),0),IFERROR(N($K5)*INDEX(Options!$U$5:$AA$104,MATCH($J5,Options!$A$5:$A$104,0),MATCH(N$4,Options!$U$4:$AA$4,0)),0))</f>
        <v>12</v>
      </c>
      <c r="O5" s="105">
        <f>SUM(IFERROR(N($C5)*INDEX(Options!$U$5:$AA$104,MATCH($B5,Options!$A$5:$A$104,0),MATCH(O$4,Options!$U$4:$AA$4,0)),0),IFERROR(N($E5)*INDEX(Options!$U$5:$AA$104,MATCH($D5,Options!$A$5:$A$104,0),MATCH(O$4,Options!$U$4:$AA$4,0)),0),IFERROR(N($G5)*INDEX(Options!$U$5:$AA$104,MATCH($F5,Options!$A$5:$A$104,0),MATCH(O$4,Options!$U$4:$AA$4,0)),0),IFERROR(N($I5)*INDEX(Options!$U$5:$AA$104,MATCH($H5,Options!$A$5:$A$104,0),MATCH(O$4,Options!$U$4:$AA$4,0)),0),IFERROR(N($K5)*INDEX(Options!$U$5:$AA$104,MATCH($J5,Options!$A$5:$A$104,0),MATCH(O$4,Options!$U$4:$AA$4,0)),0))</f>
        <v>6</v>
      </c>
      <c r="P5" s="101">
        <f>SUM(IFERROR(N($C5)*INDEX(Options!$U$5:$AA$104,MATCH($B5,Options!$A$5:$A$104,0),MATCH(P$4,Options!$U$4:$AA$4,0)),0),IFERROR(N($E5)*INDEX(Options!$U$5:$AA$104,MATCH($D5,Options!$A$5:$A$104,0),MATCH(P$4,Options!$U$4:$AA$4,0)),0),IFERROR(N($G5)*INDEX(Options!$U$5:$AA$104,MATCH($F5,Options!$A$5:$A$104,0),MATCH(P$4,Options!$U$4:$AA$4,0)),0),IFERROR(N($I5)*INDEX(Options!$U$5:$AA$104,MATCH($H5,Options!$A$5:$A$104,0),MATCH(P$4,Options!$U$4:$AA$4,0)),0),IFERROR(N($K5)*INDEX(Options!$U$5:$AA$104,MATCH($J5,Options!$A$5:$A$104,0),MATCH(P$4,Options!$U$4:$AA$4,0)),0))</f>
        <v>0</v>
      </c>
      <c r="Q5" s="99">
        <f>SUM(IFERROR(N($C5)*INDEX(Options!$U$5:$AA$104,MATCH($B5,Options!$A$5:$A$104,0),MATCH(Q$4,Options!$U$4:$AA$4,0)),0),IFERROR(N($E5)*INDEX(Options!$U$5:$AA$104,MATCH($D5,Options!$A$5:$A$104,0),MATCH(Q$4,Options!$U$4:$AA$4,0)),0),IFERROR(N($G5)*INDEX(Options!$U$5:$AA$104,MATCH($F5,Options!$A$5:$A$104,0),MATCH(Q$4,Options!$U$4:$AA$4,0)),0),IFERROR(N($I5)*INDEX(Options!$U$5:$AA$104,MATCH($H5,Options!$A$5:$A$104,0),MATCH(Q$4,Options!$U$4:$AA$4,0)),0),IFERROR(N($K5)*INDEX(Options!$U$5:$AA$104,MATCH($J5,Options!$A$5:$A$104,0),MATCH(Q$4,Options!$U$4:$AA$4,0)),0))</f>
        <v>0</v>
      </c>
      <c r="R5" s="99">
        <f>SUM(IFERROR(N($C5)*INDEX(Options!$U$5:$AA$104,MATCH($B5,Options!$A$5:$A$104,0),MATCH(R$4,Options!$U$4:$AA$4,0)),0),IFERROR(N($E5)*INDEX(Options!$U$5:$AA$104,MATCH($D5,Options!$A$5:$A$104,0),MATCH(R$4,Options!$U$4:$AA$4,0)),0),IFERROR(N($G5)*INDEX(Options!$U$5:$AA$104,MATCH($F5,Options!$A$5:$A$104,0),MATCH(R$4,Options!$U$4:$AA$4,0)),0),IFERROR(N($I5)*INDEX(Options!$U$5:$AA$104,MATCH($H5,Options!$A$5:$A$104,0),MATCH(R$4,Options!$U$4:$AA$4,0)),0),IFERROR(N($K5)*INDEX(Options!$U$5:$AA$104,MATCH($J5,Options!$A$5:$A$104,0),MATCH(R$4,Options!$U$4:$AA$4,0)),0))</f>
        <v>0</v>
      </c>
      <c r="S5" s="97">
        <f>SUM(IFERROR(N($C5)*INDEX(Options!$U$5:$AA$104,MATCH($B5,Options!$A$5:$A$104,0),MATCH(S$4,Options!$U$4:$AA$4,0)),0),IFERROR(N($E5)*INDEX(Options!$U$5:$AA$104,MATCH($D5,Options!$A$5:$A$104,0),MATCH(S$4,Options!$U$4:$AA$4,0)),0),IFERROR(N($G5)*INDEX(Options!$U$5:$AA$104,MATCH($F5,Options!$A$5:$A$104,0),MATCH(S$4,Options!$U$4:$AA$4,0)),0),IFERROR(N($I5)*INDEX(Options!$U$5:$AA$104,MATCH($H5,Options!$A$5:$A$104,0),MATCH(S$4,Options!$U$4:$AA$4,0)),0),IFERROR(N($K5)*INDEX(Options!$U$5:$AA$104,MATCH($J5,Options!$A$5:$A$104,0),MATCH(S$4,Options!$U$4:$AA$4,0)),0))</f>
        <v>6</v>
      </c>
    </row>
    <row r="6" spans="1:20" ht="17.55" customHeight="1">
      <c r="A6" s="87" t="s">
        <v>187</v>
      </c>
      <c r="B6" s="88" t="s">
        <v>179</v>
      </c>
      <c r="C6" s="88">
        <v>5</v>
      </c>
      <c r="D6" s="88" t="s">
        <v>181</v>
      </c>
      <c r="E6" s="88">
        <v>1</v>
      </c>
      <c r="F6" s="88"/>
      <c r="G6" s="88"/>
      <c r="H6" s="88"/>
      <c r="I6" s="88"/>
      <c r="J6" s="88"/>
      <c r="K6" s="88"/>
      <c r="L6" s="90">
        <f>SUM(IFERROR(N($C6)*N(INDEX(Options!$P$5:$P$104,MATCH($B6,Options!$A$5:$A$104,0))),0),IFERROR(N($E6)*N(INDEX(Options!$P$5:$P$104,MATCH($D6,Options!$A$5:$A$104,0))),0),IFERROR(N($G6)*N(INDEX(Options!$P$5:$P$104,MATCH($F6,Options!$A$5:$A$104,0))),0),IFERROR(N($I6)*N(INDEX(Options!$P$5:$P$104,MATCH($H6,Options!$A$5:$A$104,0))),0),IFERROR(N($K6)*N(INDEX(Options!$P$5:$P$104,MATCH($J6,Options!$A$5:$A$104,0))),0))</f>
        <v>13750</v>
      </c>
      <c r="M6" s="90">
        <f>SUM(IFERROR(N($C6)*INDEX(Options!$U$5:$AA$104,MATCH($B6,Options!$A$5:$A$104,0),MATCH(M$4,Options!$U$4:$AA$4,0)),0),IFERROR(N($E6)*INDEX(Options!$U$5:$AA$104,MATCH($D6,Options!$A$5:$A$104,0),MATCH(M$4,Options!$U$4:$AA$4,0)),0),IFERROR(N($G6)*INDEX(Options!$U$5:$AA$104,MATCH($F6,Options!$A$5:$A$104,0),MATCH(M$4,Options!$U$4:$AA$4,0)),0),IFERROR(N($I6)*INDEX(Options!$U$5:$AA$104,MATCH($H6,Options!$A$5:$A$104,0),MATCH(M$4,Options!$U$4:$AA$4,0)),0),IFERROR(N($K6)*INDEX(Options!$U$5:$AA$104,MATCH($J6,Options!$A$5:$A$104,0),MATCH(M$4,Options!$U$4:$AA$4,0)),0))</f>
        <v>16</v>
      </c>
      <c r="N6" s="103">
        <f>SUM(IFERROR(N($C6)*INDEX(Options!$U$5:$AA$104,MATCH($B6,Options!$A$5:$A$104,0),MATCH(N$4,Options!$U$4:$AA$4,0)),0),IFERROR(N($E6)*INDEX(Options!$U$5:$AA$104,MATCH($D6,Options!$A$5:$A$104,0),MATCH(N$4,Options!$U$4:$AA$4,0)),0),IFERROR(N($G6)*INDEX(Options!$U$5:$AA$104,MATCH($F6,Options!$A$5:$A$104,0),MATCH(N$4,Options!$U$4:$AA$4,0)),0),IFERROR(N($I6)*INDEX(Options!$U$5:$AA$104,MATCH($H6,Options!$A$5:$A$104,0),MATCH(N$4,Options!$U$4:$AA$4,0)),0),IFERROR(N($K6)*INDEX(Options!$U$5:$AA$104,MATCH($J6,Options!$A$5:$A$104,0),MATCH(N$4,Options!$U$4:$AA$4,0)),0))</f>
        <v>12</v>
      </c>
      <c r="O6" s="105">
        <f>SUM(IFERROR(N($C6)*INDEX(Options!$U$5:$AA$104,MATCH($B6,Options!$A$5:$A$104,0),MATCH(O$4,Options!$U$4:$AA$4,0)),0),IFERROR(N($E6)*INDEX(Options!$U$5:$AA$104,MATCH($D6,Options!$A$5:$A$104,0),MATCH(O$4,Options!$U$4:$AA$4,0)),0),IFERROR(N($G6)*INDEX(Options!$U$5:$AA$104,MATCH($F6,Options!$A$5:$A$104,0),MATCH(O$4,Options!$U$4:$AA$4,0)),0),IFERROR(N($I6)*INDEX(Options!$U$5:$AA$104,MATCH($H6,Options!$A$5:$A$104,0),MATCH(O$4,Options!$U$4:$AA$4,0)),0),IFERROR(N($K6)*INDEX(Options!$U$5:$AA$104,MATCH($J6,Options!$A$5:$A$104,0),MATCH(O$4,Options!$U$4:$AA$4,0)),0))</f>
        <v>5</v>
      </c>
      <c r="P6" s="101">
        <f>SUM(IFERROR(N($C6)*INDEX(Options!$U$5:$AA$104,MATCH($B6,Options!$A$5:$A$104,0),MATCH(P$4,Options!$U$4:$AA$4,0)),0),IFERROR(N($E6)*INDEX(Options!$U$5:$AA$104,MATCH($D6,Options!$A$5:$A$104,0),MATCH(P$4,Options!$U$4:$AA$4,0)),0),IFERROR(N($G6)*INDEX(Options!$U$5:$AA$104,MATCH($F6,Options!$A$5:$A$104,0),MATCH(P$4,Options!$U$4:$AA$4,0)),0),IFERROR(N($I6)*INDEX(Options!$U$5:$AA$104,MATCH($H6,Options!$A$5:$A$104,0),MATCH(P$4,Options!$U$4:$AA$4,0)),0),IFERROR(N($K6)*INDEX(Options!$U$5:$AA$104,MATCH($J6,Options!$A$5:$A$104,0),MATCH(P$4,Options!$U$4:$AA$4,0)),0))</f>
        <v>0</v>
      </c>
      <c r="Q6" s="99">
        <f>SUM(IFERROR(N($C6)*INDEX(Options!$U$5:$AA$104,MATCH($B6,Options!$A$5:$A$104,0),MATCH(Q$4,Options!$U$4:$AA$4,0)),0),IFERROR(N($E6)*INDEX(Options!$U$5:$AA$104,MATCH($D6,Options!$A$5:$A$104,0),MATCH(Q$4,Options!$U$4:$AA$4,0)),0),IFERROR(N($G6)*INDEX(Options!$U$5:$AA$104,MATCH($F6,Options!$A$5:$A$104,0),MATCH(Q$4,Options!$U$4:$AA$4,0)),0),IFERROR(N($I6)*INDEX(Options!$U$5:$AA$104,MATCH($H6,Options!$A$5:$A$104,0),MATCH(Q$4,Options!$U$4:$AA$4,0)),0),IFERROR(N($K6)*INDEX(Options!$U$5:$AA$104,MATCH($J6,Options!$A$5:$A$104,0),MATCH(Q$4,Options!$U$4:$AA$4,0)),0))</f>
        <v>0</v>
      </c>
      <c r="R6" s="99">
        <f>SUM(IFERROR(N($C6)*INDEX(Options!$U$5:$AA$104,MATCH($B6,Options!$A$5:$A$104,0),MATCH(R$4,Options!$U$4:$AA$4,0)),0),IFERROR(N($E6)*INDEX(Options!$U$5:$AA$104,MATCH($D6,Options!$A$5:$A$104,0),MATCH(R$4,Options!$U$4:$AA$4,0)),0),IFERROR(N($G6)*INDEX(Options!$U$5:$AA$104,MATCH($F6,Options!$A$5:$A$104,0),MATCH(R$4,Options!$U$4:$AA$4,0)),0),IFERROR(N($I6)*INDEX(Options!$U$5:$AA$104,MATCH($H6,Options!$A$5:$A$104,0),MATCH(R$4,Options!$U$4:$AA$4,0)),0),IFERROR(N($K6)*INDEX(Options!$U$5:$AA$104,MATCH($J6,Options!$A$5:$A$104,0),MATCH(R$4,Options!$U$4:$AA$4,0)),0))</f>
        <v>0</v>
      </c>
      <c r="S6" s="97">
        <f>SUM(IFERROR(N($C6)*INDEX(Options!$U$5:$AA$104,MATCH($B6,Options!$A$5:$A$104,0),MATCH(S$4,Options!$U$4:$AA$4,0)),0),IFERROR(N($E6)*INDEX(Options!$U$5:$AA$104,MATCH($D6,Options!$A$5:$A$104,0),MATCH(S$4,Options!$U$4:$AA$4,0)),0),IFERROR(N($G6)*INDEX(Options!$U$5:$AA$104,MATCH($F6,Options!$A$5:$A$104,0),MATCH(S$4,Options!$U$4:$AA$4,0)),0),IFERROR(N($I6)*INDEX(Options!$U$5:$AA$104,MATCH($H6,Options!$A$5:$A$104,0),MATCH(S$4,Options!$U$4:$AA$4,0)),0),IFERROR(N($K6)*INDEX(Options!$U$5:$AA$104,MATCH($J6,Options!$A$5:$A$104,0),MATCH(S$4,Options!$U$4:$AA$4,0)),0))</f>
        <v>5</v>
      </c>
    </row>
    <row r="7" spans="1:20" ht="17.55" customHeight="1">
      <c r="A7" s="87" t="s">
        <v>188</v>
      </c>
      <c r="B7" s="88" t="s">
        <v>185</v>
      </c>
      <c r="C7" s="88">
        <v>2</v>
      </c>
      <c r="D7" s="88" t="s">
        <v>181</v>
      </c>
      <c r="E7" s="88">
        <v>3</v>
      </c>
      <c r="F7" s="88" t="s">
        <v>179</v>
      </c>
      <c r="G7" s="88">
        <v>1</v>
      </c>
      <c r="H7" s="88"/>
      <c r="I7" s="88"/>
      <c r="J7" s="88"/>
      <c r="K7" s="88"/>
      <c r="L7" s="90">
        <f>SUM(IFERROR(N($C7)*N(INDEX(Options!$P$5:$P$104,MATCH($B7,Options!$A$5:$A$104,0))),0),IFERROR(N($E7)*N(INDEX(Options!$P$5:$P$104,MATCH($D7,Options!$A$5:$A$104,0))),0),IFERROR(N($G7)*N(INDEX(Options!$P$5:$P$104,MATCH($F7,Options!$A$5:$A$104,0))),0),IFERROR(N($I7)*N(INDEX(Options!$P$5:$P$104,MATCH($H7,Options!$A$5:$A$104,0))),0),IFERROR(N($K7)*N(INDEX(Options!$P$5:$P$104,MATCH($J7,Options!$A$5:$A$104,0))),0))</f>
        <v>15750</v>
      </c>
      <c r="M7" s="90">
        <f>SUM(IFERROR(N($C7)*INDEX(Options!$U$5:$AA$104,MATCH($B7,Options!$A$5:$A$104,0),MATCH(M$4,Options!$U$4:$AA$4,0)),0),IFERROR(N($E7)*INDEX(Options!$U$5:$AA$104,MATCH($D7,Options!$A$5:$A$104,0),MATCH(M$4,Options!$U$4:$AA$4,0)),0),IFERROR(N($G7)*INDEX(Options!$U$5:$AA$104,MATCH($F7,Options!$A$5:$A$104,0),MATCH(M$4,Options!$U$4:$AA$4,0)),0),IFERROR(N($I7)*INDEX(Options!$U$5:$AA$104,MATCH($H7,Options!$A$5:$A$104,0),MATCH(M$4,Options!$U$4:$AA$4,0)),0),IFERROR(N($K7)*INDEX(Options!$U$5:$AA$104,MATCH($J7,Options!$A$5:$A$104,0),MATCH(M$4,Options!$U$4:$AA$4,0)),0))</f>
        <v>14</v>
      </c>
      <c r="N7" s="103">
        <f>SUM(IFERROR(N($C7)*INDEX(Options!$U$5:$AA$104,MATCH($B7,Options!$A$5:$A$104,0),MATCH(N$4,Options!$U$4:$AA$4,0)),0),IFERROR(N($E7)*INDEX(Options!$U$5:$AA$104,MATCH($D7,Options!$A$5:$A$104,0),MATCH(N$4,Options!$U$4:$AA$4,0)),0),IFERROR(N($G7)*INDEX(Options!$U$5:$AA$104,MATCH($F7,Options!$A$5:$A$104,0),MATCH(N$4,Options!$U$4:$AA$4,0)),0),IFERROR(N($I7)*INDEX(Options!$U$5:$AA$104,MATCH($H7,Options!$A$5:$A$104,0),MATCH(N$4,Options!$U$4:$AA$4,0)),0),IFERROR(N($K7)*INDEX(Options!$U$5:$AA$104,MATCH($J7,Options!$A$5:$A$104,0),MATCH(N$4,Options!$U$4:$AA$4,0)),0))</f>
        <v>18</v>
      </c>
      <c r="O7" s="105">
        <f>SUM(IFERROR(N($C7)*INDEX(Options!$U$5:$AA$104,MATCH($B7,Options!$A$5:$A$104,0),MATCH(O$4,Options!$U$4:$AA$4,0)),0),IFERROR(N($E7)*INDEX(Options!$U$5:$AA$104,MATCH($D7,Options!$A$5:$A$104,0),MATCH(O$4,Options!$U$4:$AA$4,0)),0),IFERROR(N($G7)*INDEX(Options!$U$5:$AA$104,MATCH($F7,Options!$A$5:$A$104,0),MATCH(O$4,Options!$U$4:$AA$4,0)),0),IFERROR(N($I7)*INDEX(Options!$U$5:$AA$104,MATCH($H7,Options!$A$5:$A$104,0),MATCH(O$4,Options!$U$4:$AA$4,0)),0),IFERROR(N($K7)*INDEX(Options!$U$5:$AA$104,MATCH($J7,Options!$A$5:$A$104,0),MATCH(O$4,Options!$U$4:$AA$4,0)),0))</f>
        <v>5</v>
      </c>
      <c r="P7" s="101">
        <f>SUM(IFERROR(N($C7)*INDEX(Options!$U$5:$AA$104,MATCH($B7,Options!$A$5:$A$104,0),MATCH(P$4,Options!$U$4:$AA$4,0)),0),IFERROR(N($E7)*INDEX(Options!$U$5:$AA$104,MATCH($D7,Options!$A$5:$A$104,0),MATCH(P$4,Options!$U$4:$AA$4,0)),0),IFERROR(N($G7)*INDEX(Options!$U$5:$AA$104,MATCH($F7,Options!$A$5:$A$104,0),MATCH(P$4,Options!$U$4:$AA$4,0)),0),IFERROR(N($I7)*INDEX(Options!$U$5:$AA$104,MATCH($H7,Options!$A$5:$A$104,0),MATCH(P$4,Options!$U$4:$AA$4,0)),0),IFERROR(N($K7)*INDEX(Options!$U$5:$AA$104,MATCH($J7,Options!$A$5:$A$104,0),MATCH(P$4,Options!$U$4:$AA$4,0)),0))</f>
        <v>0</v>
      </c>
      <c r="Q7" s="99">
        <f>SUM(IFERROR(N($C7)*INDEX(Options!$U$5:$AA$104,MATCH($B7,Options!$A$5:$A$104,0),MATCH(Q$4,Options!$U$4:$AA$4,0)),0),IFERROR(N($E7)*INDEX(Options!$U$5:$AA$104,MATCH($D7,Options!$A$5:$A$104,0),MATCH(Q$4,Options!$U$4:$AA$4,0)),0),IFERROR(N($G7)*INDEX(Options!$U$5:$AA$104,MATCH($F7,Options!$A$5:$A$104,0),MATCH(Q$4,Options!$U$4:$AA$4,0)),0),IFERROR(N($I7)*INDEX(Options!$U$5:$AA$104,MATCH($H7,Options!$A$5:$A$104,0),MATCH(Q$4,Options!$U$4:$AA$4,0)),0),IFERROR(N($K7)*INDEX(Options!$U$5:$AA$104,MATCH($J7,Options!$A$5:$A$104,0),MATCH(Q$4,Options!$U$4:$AA$4,0)),0))</f>
        <v>0</v>
      </c>
      <c r="R7" s="99">
        <f>SUM(IFERROR(N($C7)*INDEX(Options!$U$5:$AA$104,MATCH($B7,Options!$A$5:$A$104,0),MATCH(R$4,Options!$U$4:$AA$4,0)),0),IFERROR(N($E7)*INDEX(Options!$U$5:$AA$104,MATCH($D7,Options!$A$5:$A$104,0),MATCH(R$4,Options!$U$4:$AA$4,0)),0),IFERROR(N($G7)*INDEX(Options!$U$5:$AA$104,MATCH($F7,Options!$A$5:$A$104,0),MATCH(R$4,Options!$U$4:$AA$4,0)),0),IFERROR(N($I7)*INDEX(Options!$U$5:$AA$104,MATCH($H7,Options!$A$5:$A$104,0),MATCH(R$4,Options!$U$4:$AA$4,0)),0),IFERROR(N($K7)*INDEX(Options!$U$5:$AA$104,MATCH($J7,Options!$A$5:$A$104,0),MATCH(R$4,Options!$U$4:$AA$4,0)),0))</f>
        <v>0</v>
      </c>
      <c r="S7" s="97">
        <f>SUM(IFERROR(N($C7)*INDEX(Options!$U$5:$AA$104,MATCH($B7,Options!$A$5:$A$104,0),MATCH(S$4,Options!$U$4:$AA$4,0)),0),IFERROR(N($E7)*INDEX(Options!$U$5:$AA$104,MATCH($D7,Options!$A$5:$A$104,0),MATCH(S$4,Options!$U$4:$AA$4,0)),0),IFERROR(N($G7)*INDEX(Options!$U$5:$AA$104,MATCH($F7,Options!$A$5:$A$104,0),MATCH(S$4,Options!$U$4:$AA$4,0)),0),IFERROR(N($I7)*INDEX(Options!$U$5:$AA$104,MATCH($H7,Options!$A$5:$A$104,0),MATCH(S$4,Options!$U$4:$AA$4,0)),0),IFERROR(N($K7)*INDEX(Options!$U$5:$AA$104,MATCH($J7,Options!$A$5:$A$104,0),MATCH(S$4,Options!$U$4:$AA$4,0)),0))</f>
        <v>5</v>
      </c>
    </row>
    <row r="8" spans="1:20" ht="17.55" customHeight="1">
      <c r="A8" s="87" t="s">
        <v>189</v>
      </c>
      <c r="B8" s="88" t="s">
        <v>62</v>
      </c>
      <c r="C8" s="88">
        <v>4</v>
      </c>
      <c r="D8" s="88" t="s">
        <v>181</v>
      </c>
      <c r="E8" s="88">
        <v>2</v>
      </c>
      <c r="F8" s="88"/>
      <c r="G8" s="88"/>
      <c r="H8" s="88"/>
      <c r="I8" s="88"/>
      <c r="J8" s="88"/>
      <c r="K8" s="88"/>
      <c r="L8" s="90">
        <f>SUM(IFERROR(N($C8)*N(INDEX(Options!$P$5:$P$104,MATCH($B8,Options!$A$5:$A$104,0))),0),IFERROR(N($E8)*N(INDEX(Options!$P$5:$P$104,MATCH($D8,Options!$A$5:$A$104,0))),0),IFERROR(N($G8)*N(INDEX(Options!$P$5:$P$104,MATCH($F8,Options!$A$5:$A$104,0))),0),IFERROR(N($I8)*N(INDEX(Options!$P$5:$P$104,MATCH($H8,Options!$A$5:$A$104,0))),0),IFERROR(N($K8)*N(INDEX(Options!$P$5:$P$104,MATCH($J8,Options!$A$5:$A$104,0))),0))</f>
        <v>11000</v>
      </c>
      <c r="M8" s="90">
        <f>SUM(IFERROR(N($C8)*INDEX(Options!$U$5:$AA$104,MATCH($B8,Options!$A$5:$A$104,0),MATCH(M$4,Options!$U$4:$AA$4,0)),0),IFERROR(N($E8)*INDEX(Options!$U$5:$AA$104,MATCH($D8,Options!$A$5:$A$104,0),MATCH(M$4,Options!$U$4:$AA$4,0)),0),IFERROR(N($G8)*INDEX(Options!$U$5:$AA$104,MATCH($F8,Options!$A$5:$A$104,0),MATCH(M$4,Options!$U$4:$AA$4,0)),0),IFERROR(N($I8)*INDEX(Options!$U$5:$AA$104,MATCH($H8,Options!$A$5:$A$104,0),MATCH(M$4,Options!$U$4:$AA$4,0)),0),IFERROR(N($K8)*INDEX(Options!$U$5:$AA$104,MATCH($J8,Options!$A$5:$A$104,0),MATCH(M$4,Options!$U$4:$AA$4,0)),0))</f>
        <v>14</v>
      </c>
      <c r="N8" s="103">
        <f>SUM(IFERROR(N($C8)*INDEX(Options!$U$5:$AA$104,MATCH($B8,Options!$A$5:$A$104,0),MATCH(N$4,Options!$U$4:$AA$4,0)),0),IFERROR(N($E8)*INDEX(Options!$U$5:$AA$104,MATCH($D8,Options!$A$5:$A$104,0),MATCH(N$4,Options!$U$4:$AA$4,0)),0),IFERROR(N($G8)*INDEX(Options!$U$5:$AA$104,MATCH($F8,Options!$A$5:$A$104,0),MATCH(N$4,Options!$U$4:$AA$4,0)),0),IFERROR(N($I8)*INDEX(Options!$U$5:$AA$104,MATCH($H8,Options!$A$5:$A$104,0),MATCH(N$4,Options!$U$4:$AA$4,0)),0),IFERROR(N($K8)*INDEX(Options!$U$5:$AA$104,MATCH($J8,Options!$A$5:$A$104,0),MATCH(N$4,Options!$U$4:$AA$4,0)),0))</f>
        <v>12</v>
      </c>
      <c r="O8" s="105">
        <f>SUM(IFERROR(N($C8)*INDEX(Options!$U$5:$AA$104,MATCH($B8,Options!$A$5:$A$104,0),MATCH(O$4,Options!$U$4:$AA$4,0)),0),IFERROR(N($E8)*INDEX(Options!$U$5:$AA$104,MATCH($D8,Options!$A$5:$A$104,0),MATCH(O$4,Options!$U$4:$AA$4,0)),0),IFERROR(N($G8)*INDEX(Options!$U$5:$AA$104,MATCH($F8,Options!$A$5:$A$104,0),MATCH(O$4,Options!$U$4:$AA$4,0)),0),IFERROR(N($I8)*INDEX(Options!$U$5:$AA$104,MATCH($H8,Options!$A$5:$A$104,0),MATCH(O$4,Options!$U$4:$AA$4,0)),0),IFERROR(N($K8)*INDEX(Options!$U$5:$AA$104,MATCH($J8,Options!$A$5:$A$104,0),MATCH(O$4,Options!$U$4:$AA$4,0)),0))</f>
        <v>8</v>
      </c>
      <c r="P8" s="101">
        <f>SUM(IFERROR(N($C8)*INDEX(Options!$U$5:$AA$104,MATCH($B8,Options!$A$5:$A$104,0),MATCH(P$4,Options!$U$4:$AA$4,0)),0),IFERROR(N($E8)*INDEX(Options!$U$5:$AA$104,MATCH($D8,Options!$A$5:$A$104,0),MATCH(P$4,Options!$U$4:$AA$4,0)),0),IFERROR(N($G8)*INDEX(Options!$U$5:$AA$104,MATCH($F8,Options!$A$5:$A$104,0),MATCH(P$4,Options!$U$4:$AA$4,0)),0),IFERROR(N($I8)*INDEX(Options!$U$5:$AA$104,MATCH($H8,Options!$A$5:$A$104,0),MATCH(P$4,Options!$U$4:$AA$4,0)),0),IFERROR(N($K8)*INDEX(Options!$U$5:$AA$104,MATCH($J8,Options!$A$5:$A$104,0),MATCH(P$4,Options!$U$4:$AA$4,0)),0))</f>
        <v>0</v>
      </c>
      <c r="Q8" s="99">
        <f>SUM(IFERROR(N($C8)*INDEX(Options!$U$5:$AA$104,MATCH($B8,Options!$A$5:$A$104,0),MATCH(Q$4,Options!$U$4:$AA$4,0)),0),IFERROR(N($E8)*INDEX(Options!$U$5:$AA$104,MATCH($D8,Options!$A$5:$A$104,0),MATCH(Q$4,Options!$U$4:$AA$4,0)),0),IFERROR(N($G8)*INDEX(Options!$U$5:$AA$104,MATCH($F8,Options!$A$5:$A$104,0),MATCH(Q$4,Options!$U$4:$AA$4,0)),0),IFERROR(N($I8)*INDEX(Options!$U$5:$AA$104,MATCH($H8,Options!$A$5:$A$104,0),MATCH(Q$4,Options!$U$4:$AA$4,0)),0),IFERROR(N($K8)*INDEX(Options!$U$5:$AA$104,MATCH($J8,Options!$A$5:$A$104,0),MATCH(Q$4,Options!$U$4:$AA$4,0)),0))</f>
        <v>0</v>
      </c>
      <c r="R8" s="99">
        <f>SUM(IFERROR(N($C8)*INDEX(Options!$U$5:$AA$104,MATCH($B8,Options!$A$5:$A$104,0),MATCH(R$4,Options!$U$4:$AA$4,0)),0),IFERROR(N($E8)*INDEX(Options!$U$5:$AA$104,MATCH($D8,Options!$A$5:$A$104,0),MATCH(R$4,Options!$U$4:$AA$4,0)),0),IFERROR(N($G8)*INDEX(Options!$U$5:$AA$104,MATCH($F8,Options!$A$5:$A$104,0),MATCH(R$4,Options!$U$4:$AA$4,0)),0),IFERROR(N($I8)*INDEX(Options!$U$5:$AA$104,MATCH($H8,Options!$A$5:$A$104,0),MATCH(R$4,Options!$U$4:$AA$4,0)),0),IFERROR(N($K8)*INDEX(Options!$U$5:$AA$104,MATCH($J8,Options!$A$5:$A$104,0),MATCH(R$4,Options!$U$4:$AA$4,0)),0))</f>
        <v>0</v>
      </c>
      <c r="S8" s="97">
        <f>SUM(IFERROR(N($C8)*INDEX(Options!$U$5:$AA$104,MATCH($B8,Options!$A$5:$A$104,0),MATCH(S$4,Options!$U$4:$AA$4,0)),0),IFERROR(N($E8)*INDEX(Options!$U$5:$AA$104,MATCH($D8,Options!$A$5:$A$104,0),MATCH(S$4,Options!$U$4:$AA$4,0)),0),IFERROR(N($G8)*INDEX(Options!$U$5:$AA$104,MATCH($F8,Options!$A$5:$A$104,0),MATCH(S$4,Options!$U$4:$AA$4,0)),0),IFERROR(N($I8)*INDEX(Options!$U$5:$AA$104,MATCH($H8,Options!$A$5:$A$104,0),MATCH(S$4,Options!$U$4:$AA$4,0)),0),IFERROR(N($K8)*INDEX(Options!$U$5:$AA$104,MATCH($J8,Options!$A$5:$A$104,0),MATCH(S$4,Options!$U$4:$AA$4,0)),0))</f>
        <v>0</v>
      </c>
    </row>
    <row r="9" spans="1:20" ht="17.55" customHeight="1">
      <c r="A9" s="87" t="s">
        <v>190</v>
      </c>
      <c r="B9" s="88" t="s">
        <v>68</v>
      </c>
      <c r="C9" s="88">
        <v>2</v>
      </c>
      <c r="D9" s="88" t="s">
        <v>181</v>
      </c>
      <c r="E9" s="88">
        <v>4</v>
      </c>
      <c r="F9" s="88"/>
      <c r="G9" s="88"/>
      <c r="H9" s="88"/>
      <c r="I9" s="88"/>
      <c r="J9" s="88"/>
      <c r="K9" s="88"/>
      <c r="L9" s="90">
        <f>SUM(IFERROR(N($C9)*N(INDEX(Options!$P$5:$P$104,MATCH($B9,Options!$A$5:$A$104,0))),0),IFERROR(N($E9)*N(INDEX(Options!$P$5:$P$104,MATCH($D9,Options!$A$5:$A$104,0))),0),IFERROR(N($G9)*N(INDEX(Options!$P$5:$P$104,MATCH($F9,Options!$A$5:$A$104,0))),0),IFERROR(N($I9)*N(INDEX(Options!$P$5:$P$104,MATCH($H9,Options!$A$5:$A$104,0))),0),IFERROR(N($K9)*N(INDEX(Options!$P$5:$P$104,MATCH($J9,Options!$A$5:$A$104,0))),0))</f>
        <v>15000</v>
      </c>
      <c r="M9" s="90">
        <f>SUM(IFERROR(N($C9)*INDEX(Options!$U$5:$AA$104,MATCH($B9,Options!$A$5:$A$104,0),MATCH(M$4,Options!$U$4:$AA$4,0)),0),IFERROR(N($E9)*INDEX(Options!$U$5:$AA$104,MATCH($D9,Options!$A$5:$A$104,0),MATCH(M$4,Options!$U$4:$AA$4,0)),0),IFERROR(N($G9)*INDEX(Options!$U$5:$AA$104,MATCH($F9,Options!$A$5:$A$104,0),MATCH(M$4,Options!$U$4:$AA$4,0)),0),IFERROR(N($I9)*INDEX(Options!$U$5:$AA$104,MATCH($H9,Options!$A$5:$A$104,0),MATCH(M$4,Options!$U$4:$AA$4,0)),0),IFERROR(N($K9)*INDEX(Options!$U$5:$AA$104,MATCH($J9,Options!$A$5:$A$104,0),MATCH(M$4,Options!$U$4:$AA$4,0)),0))</f>
        <v>12</v>
      </c>
      <c r="N9" s="103">
        <f>SUM(IFERROR(N($C9)*INDEX(Options!$U$5:$AA$104,MATCH($B9,Options!$A$5:$A$104,0),MATCH(N$4,Options!$U$4:$AA$4,0)),0),IFERROR(N($E9)*INDEX(Options!$U$5:$AA$104,MATCH($D9,Options!$A$5:$A$104,0),MATCH(N$4,Options!$U$4:$AA$4,0)),0),IFERROR(N($G9)*INDEX(Options!$U$5:$AA$104,MATCH($F9,Options!$A$5:$A$104,0),MATCH(N$4,Options!$U$4:$AA$4,0)),0),IFERROR(N($I9)*INDEX(Options!$U$5:$AA$104,MATCH($H9,Options!$A$5:$A$104,0),MATCH(N$4,Options!$U$4:$AA$4,0)),0),IFERROR(N($K9)*INDEX(Options!$U$5:$AA$104,MATCH($J9,Options!$A$5:$A$104,0),MATCH(N$4,Options!$U$4:$AA$4,0)),0))</f>
        <v>16</v>
      </c>
      <c r="O9" s="105">
        <f>SUM(IFERROR(N($C9)*INDEX(Options!$U$5:$AA$104,MATCH($B9,Options!$A$5:$A$104,0),MATCH(O$4,Options!$U$4:$AA$4,0)),0),IFERROR(N($E9)*INDEX(Options!$U$5:$AA$104,MATCH($D9,Options!$A$5:$A$104,0),MATCH(O$4,Options!$U$4:$AA$4,0)),0),IFERROR(N($G9)*INDEX(Options!$U$5:$AA$104,MATCH($F9,Options!$A$5:$A$104,0),MATCH(O$4,Options!$U$4:$AA$4,0)),0),IFERROR(N($I9)*INDEX(Options!$U$5:$AA$104,MATCH($H9,Options!$A$5:$A$104,0),MATCH(O$4,Options!$U$4:$AA$4,0)),0),IFERROR(N($K9)*INDEX(Options!$U$5:$AA$104,MATCH($J9,Options!$A$5:$A$104,0),MATCH(O$4,Options!$U$4:$AA$4,0)),0))</f>
        <v>6</v>
      </c>
      <c r="P9" s="101">
        <f>SUM(IFERROR(N($C9)*INDEX(Options!$U$5:$AA$104,MATCH($B9,Options!$A$5:$A$104,0),MATCH(P$4,Options!$U$4:$AA$4,0)),0),IFERROR(N($E9)*INDEX(Options!$U$5:$AA$104,MATCH($D9,Options!$A$5:$A$104,0),MATCH(P$4,Options!$U$4:$AA$4,0)),0),IFERROR(N($G9)*INDEX(Options!$U$5:$AA$104,MATCH($F9,Options!$A$5:$A$104,0),MATCH(P$4,Options!$U$4:$AA$4,0)),0),IFERROR(N($I9)*INDEX(Options!$U$5:$AA$104,MATCH($H9,Options!$A$5:$A$104,0),MATCH(P$4,Options!$U$4:$AA$4,0)),0),IFERROR(N($K9)*INDEX(Options!$U$5:$AA$104,MATCH($J9,Options!$A$5:$A$104,0),MATCH(P$4,Options!$U$4:$AA$4,0)),0))</f>
        <v>0</v>
      </c>
      <c r="Q9" s="99">
        <f>SUM(IFERROR(N($C9)*INDEX(Options!$U$5:$AA$104,MATCH($B9,Options!$A$5:$A$104,0),MATCH(Q$4,Options!$U$4:$AA$4,0)),0),IFERROR(N($E9)*INDEX(Options!$U$5:$AA$104,MATCH($D9,Options!$A$5:$A$104,0),MATCH(Q$4,Options!$U$4:$AA$4,0)),0),IFERROR(N($G9)*INDEX(Options!$U$5:$AA$104,MATCH($F9,Options!$A$5:$A$104,0),MATCH(Q$4,Options!$U$4:$AA$4,0)),0),IFERROR(N($I9)*INDEX(Options!$U$5:$AA$104,MATCH($H9,Options!$A$5:$A$104,0),MATCH(Q$4,Options!$U$4:$AA$4,0)),0),IFERROR(N($K9)*INDEX(Options!$U$5:$AA$104,MATCH($J9,Options!$A$5:$A$104,0),MATCH(Q$4,Options!$U$4:$AA$4,0)),0))</f>
        <v>0</v>
      </c>
      <c r="R9" s="99">
        <f>SUM(IFERROR(N($C9)*INDEX(Options!$U$5:$AA$104,MATCH($B9,Options!$A$5:$A$104,0),MATCH(R$4,Options!$U$4:$AA$4,0)),0),IFERROR(N($E9)*INDEX(Options!$U$5:$AA$104,MATCH($D9,Options!$A$5:$A$104,0),MATCH(R$4,Options!$U$4:$AA$4,0)),0),IFERROR(N($G9)*INDEX(Options!$U$5:$AA$104,MATCH($F9,Options!$A$5:$A$104,0),MATCH(R$4,Options!$U$4:$AA$4,0)),0),IFERROR(N($I9)*INDEX(Options!$U$5:$AA$104,MATCH($H9,Options!$A$5:$A$104,0),MATCH(R$4,Options!$U$4:$AA$4,0)),0),IFERROR(N($K9)*INDEX(Options!$U$5:$AA$104,MATCH($J9,Options!$A$5:$A$104,0),MATCH(R$4,Options!$U$4:$AA$4,0)),0))</f>
        <v>0</v>
      </c>
      <c r="S9" s="97">
        <f>SUM(IFERROR(N($C9)*INDEX(Options!$U$5:$AA$104,MATCH($B9,Options!$A$5:$A$104,0),MATCH(S$4,Options!$U$4:$AA$4,0)),0),IFERROR(N($E9)*INDEX(Options!$U$5:$AA$104,MATCH($D9,Options!$A$5:$A$104,0),MATCH(S$4,Options!$U$4:$AA$4,0)),0),IFERROR(N($G9)*INDEX(Options!$U$5:$AA$104,MATCH($F9,Options!$A$5:$A$104,0),MATCH(S$4,Options!$U$4:$AA$4,0)),0),IFERROR(N($I9)*INDEX(Options!$U$5:$AA$104,MATCH($H9,Options!$A$5:$A$104,0),MATCH(S$4,Options!$U$4:$AA$4,0)),0),IFERROR(N($K9)*INDEX(Options!$U$5:$AA$104,MATCH($J9,Options!$A$5:$A$104,0),MATCH(S$4,Options!$U$4:$AA$4,0)),0))</f>
        <v>4</v>
      </c>
    </row>
    <row r="10" spans="1:20" ht="17.55" customHeight="1">
      <c r="A10" s="87" t="s">
        <v>191</v>
      </c>
      <c r="B10" s="88" t="s">
        <v>180</v>
      </c>
      <c r="C10" s="88">
        <v>2</v>
      </c>
      <c r="D10" s="88" t="s">
        <v>181</v>
      </c>
      <c r="E10" s="88">
        <v>4</v>
      </c>
      <c r="F10" s="88"/>
      <c r="G10" s="88"/>
      <c r="H10" s="88"/>
      <c r="I10" s="88"/>
      <c r="J10" s="88"/>
      <c r="K10" s="88"/>
      <c r="L10" s="90">
        <f>SUM(IFERROR(N($C10)*N(INDEX(Options!$P$5:$P$104,MATCH($B10,Options!$A$5:$A$104,0))),0),IFERROR(N($E10)*N(INDEX(Options!$P$5:$P$104,MATCH($D10,Options!$A$5:$A$104,0))),0),IFERROR(N($G10)*N(INDEX(Options!$P$5:$P$104,MATCH($F10,Options!$A$5:$A$104,0))),0),IFERROR(N($I10)*N(INDEX(Options!$P$5:$P$104,MATCH($H10,Options!$A$5:$A$104,0))),0),IFERROR(N($K10)*N(INDEX(Options!$P$5:$P$104,MATCH($J10,Options!$A$5:$A$104,0))),0))</f>
        <v>15000</v>
      </c>
      <c r="M10" s="90">
        <f>SUM(IFERROR(N($C10)*INDEX(Options!$U$5:$AA$104,MATCH($B10,Options!$A$5:$A$104,0),MATCH(M$4,Options!$U$4:$AA$4,0)),0),IFERROR(N($E10)*INDEX(Options!$U$5:$AA$104,MATCH($D10,Options!$A$5:$A$104,0),MATCH(M$4,Options!$U$4:$AA$4,0)),0),IFERROR(N($G10)*INDEX(Options!$U$5:$AA$104,MATCH($F10,Options!$A$5:$A$104,0),MATCH(M$4,Options!$U$4:$AA$4,0)),0),IFERROR(N($I10)*INDEX(Options!$U$5:$AA$104,MATCH($H10,Options!$A$5:$A$104,0),MATCH(M$4,Options!$U$4:$AA$4,0)),0),IFERROR(N($K10)*INDEX(Options!$U$5:$AA$104,MATCH($J10,Options!$A$5:$A$104,0),MATCH(M$4,Options!$U$4:$AA$4,0)),0))</f>
        <v>12</v>
      </c>
      <c r="N10" s="103">
        <f>SUM(IFERROR(N($C10)*INDEX(Options!$U$5:$AA$104,MATCH($B10,Options!$A$5:$A$104,0),MATCH(N$4,Options!$U$4:$AA$4,0)),0),IFERROR(N($E10)*INDEX(Options!$U$5:$AA$104,MATCH($D10,Options!$A$5:$A$104,0),MATCH(N$4,Options!$U$4:$AA$4,0)),0),IFERROR(N($G10)*INDEX(Options!$U$5:$AA$104,MATCH($F10,Options!$A$5:$A$104,0),MATCH(N$4,Options!$U$4:$AA$4,0)),0),IFERROR(N($I10)*INDEX(Options!$U$5:$AA$104,MATCH($H10,Options!$A$5:$A$104,0),MATCH(N$4,Options!$U$4:$AA$4,0)),0),IFERROR(N($K10)*INDEX(Options!$U$5:$AA$104,MATCH($J10,Options!$A$5:$A$104,0),MATCH(N$4,Options!$U$4:$AA$4,0)),0))</f>
        <v>18</v>
      </c>
      <c r="O10" s="105">
        <f>SUM(IFERROR(N($C10)*INDEX(Options!$U$5:$AA$104,MATCH($B10,Options!$A$5:$A$104,0),MATCH(O$4,Options!$U$4:$AA$4,0)),0),IFERROR(N($E10)*INDEX(Options!$U$5:$AA$104,MATCH($D10,Options!$A$5:$A$104,0),MATCH(O$4,Options!$U$4:$AA$4,0)),0),IFERROR(N($G10)*INDEX(Options!$U$5:$AA$104,MATCH($F10,Options!$A$5:$A$104,0),MATCH(O$4,Options!$U$4:$AA$4,0)),0),IFERROR(N($I10)*INDEX(Options!$U$5:$AA$104,MATCH($H10,Options!$A$5:$A$104,0),MATCH(O$4,Options!$U$4:$AA$4,0)),0),IFERROR(N($K10)*INDEX(Options!$U$5:$AA$104,MATCH($J10,Options!$A$5:$A$104,0),MATCH(O$4,Options!$U$4:$AA$4,0)),0))</f>
        <v>2</v>
      </c>
      <c r="P10" s="101">
        <f>SUM(IFERROR(N($C10)*INDEX(Options!$U$5:$AA$104,MATCH($B10,Options!$A$5:$A$104,0),MATCH(P$4,Options!$U$4:$AA$4,0)),0),IFERROR(N($E10)*INDEX(Options!$U$5:$AA$104,MATCH($D10,Options!$A$5:$A$104,0),MATCH(P$4,Options!$U$4:$AA$4,0)),0),IFERROR(N($G10)*INDEX(Options!$U$5:$AA$104,MATCH($F10,Options!$A$5:$A$104,0),MATCH(P$4,Options!$U$4:$AA$4,0)),0),IFERROR(N($I10)*INDEX(Options!$U$5:$AA$104,MATCH($H10,Options!$A$5:$A$104,0),MATCH(P$4,Options!$U$4:$AA$4,0)),0),IFERROR(N($K10)*INDEX(Options!$U$5:$AA$104,MATCH($J10,Options!$A$5:$A$104,0),MATCH(P$4,Options!$U$4:$AA$4,0)),0))</f>
        <v>0</v>
      </c>
      <c r="Q10" s="99">
        <f>SUM(IFERROR(N($C10)*INDEX(Options!$U$5:$AA$104,MATCH($B10,Options!$A$5:$A$104,0),MATCH(Q$4,Options!$U$4:$AA$4,0)),0),IFERROR(N($E10)*INDEX(Options!$U$5:$AA$104,MATCH($D10,Options!$A$5:$A$104,0),MATCH(Q$4,Options!$U$4:$AA$4,0)),0),IFERROR(N($G10)*INDEX(Options!$U$5:$AA$104,MATCH($F10,Options!$A$5:$A$104,0),MATCH(Q$4,Options!$U$4:$AA$4,0)),0),IFERROR(N($I10)*INDEX(Options!$U$5:$AA$104,MATCH($H10,Options!$A$5:$A$104,0),MATCH(Q$4,Options!$U$4:$AA$4,0)),0),IFERROR(N($K10)*INDEX(Options!$U$5:$AA$104,MATCH($J10,Options!$A$5:$A$104,0),MATCH(Q$4,Options!$U$4:$AA$4,0)),0))</f>
        <v>0</v>
      </c>
      <c r="R10" s="99">
        <f>SUM(IFERROR(N($C10)*INDEX(Options!$U$5:$AA$104,MATCH($B10,Options!$A$5:$A$104,0),MATCH(R$4,Options!$U$4:$AA$4,0)),0),IFERROR(N($E10)*INDEX(Options!$U$5:$AA$104,MATCH($D10,Options!$A$5:$A$104,0),MATCH(R$4,Options!$U$4:$AA$4,0)),0),IFERROR(N($G10)*INDEX(Options!$U$5:$AA$104,MATCH($F10,Options!$A$5:$A$104,0),MATCH(R$4,Options!$U$4:$AA$4,0)),0),IFERROR(N($I10)*INDEX(Options!$U$5:$AA$104,MATCH($H10,Options!$A$5:$A$104,0),MATCH(R$4,Options!$U$4:$AA$4,0)),0),IFERROR(N($K10)*INDEX(Options!$U$5:$AA$104,MATCH($J10,Options!$A$5:$A$104,0),MATCH(R$4,Options!$U$4:$AA$4,0)),0))</f>
        <v>0</v>
      </c>
      <c r="S10" s="97">
        <f>SUM(IFERROR(N($C10)*INDEX(Options!$U$5:$AA$104,MATCH($B10,Options!$A$5:$A$104,0),MATCH(S$4,Options!$U$4:$AA$4,0)),0),IFERROR(N($E10)*INDEX(Options!$U$5:$AA$104,MATCH($D10,Options!$A$5:$A$104,0),MATCH(S$4,Options!$U$4:$AA$4,0)),0),IFERROR(N($G10)*INDEX(Options!$U$5:$AA$104,MATCH($F10,Options!$A$5:$A$104,0),MATCH(S$4,Options!$U$4:$AA$4,0)),0),IFERROR(N($I10)*INDEX(Options!$U$5:$AA$104,MATCH($H10,Options!$A$5:$A$104,0),MATCH(S$4,Options!$U$4:$AA$4,0)),0),IFERROR(N($K10)*INDEX(Options!$U$5:$AA$104,MATCH($J10,Options!$A$5:$A$104,0),MATCH(S$4,Options!$U$4:$AA$4,0)),0))</f>
        <v>6</v>
      </c>
    </row>
    <row r="11" spans="1:20" ht="17.55" customHeight="1">
      <c r="A11" s="87" t="s">
        <v>192</v>
      </c>
      <c r="B11" s="88" t="s">
        <v>182</v>
      </c>
      <c r="C11" s="88">
        <v>2</v>
      </c>
      <c r="D11" s="88" t="s">
        <v>183</v>
      </c>
      <c r="E11" s="88">
        <v>3</v>
      </c>
      <c r="F11" s="88" t="s">
        <v>181</v>
      </c>
      <c r="G11" s="88">
        <v>1</v>
      </c>
      <c r="H11" s="88"/>
      <c r="I11" s="88"/>
      <c r="J11" s="88"/>
      <c r="K11" s="88"/>
      <c r="L11" s="90">
        <f>SUM(IFERROR(N($C11)*N(INDEX(Options!$P$5:$P$104,MATCH($B11,Options!$A$5:$A$104,0))),0),IFERROR(N($E11)*N(INDEX(Options!$P$5:$P$104,MATCH($D11,Options!$A$5:$A$104,0))),0),IFERROR(N($G11)*N(INDEX(Options!$P$5:$P$104,MATCH($F11,Options!$A$5:$A$104,0))),0),IFERROR(N($I11)*N(INDEX(Options!$P$5:$P$104,MATCH($H11,Options!$A$5:$A$104,0))),0),IFERROR(N($K11)*N(INDEX(Options!$P$5:$P$104,MATCH($J11,Options!$A$5:$A$104,0))),0))</f>
        <v>13750</v>
      </c>
      <c r="M11" s="90">
        <f>SUM(IFERROR(N($C11)*INDEX(Options!$U$5:$AA$104,MATCH($B11,Options!$A$5:$A$104,0),MATCH(M$4,Options!$U$4:$AA$4,0)),0),IFERROR(N($E11)*INDEX(Options!$U$5:$AA$104,MATCH($D11,Options!$A$5:$A$104,0),MATCH(M$4,Options!$U$4:$AA$4,0)),0),IFERROR(N($G11)*INDEX(Options!$U$5:$AA$104,MATCH($F11,Options!$A$5:$A$104,0),MATCH(M$4,Options!$U$4:$AA$4,0)),0),IFERROR(N($I11)*INDEX(Options!$U$5:$AA$104,MATCH($H11,Options!$A$5:$A$104,0),MATCH(M$4,Options!$U$4:$AA$4,0)),0),IFERROR(N($K11)*INDEX(Options!$U$5:$AA$104,MATCH($J11,Options!$A$5:$A$104,0),MATCH(M$4,Options!$U$4:$AA$4,0)),0))</f>
        <v>11</v>
      </c>
      <c r="N11" s="103">
        <f>SUM(IFERROR(N($C11)*INDEX(Options!$U$5:$AA$104,MATCH($B11,Options!$A$5:$A$104,0),MATCH(N$4,Options!$U$4:$AA$4,0)),0),IFERROR(N($E11)*INDEX(Options!$U$5:$AA$104,MATCH($D11,Options!$A$5:$A$104,0),MATCH(N$4,Options!$U$4:$AA$4,0)),0),IFERROR(N($G11)*INDEX(Options!$U$5:$AA$104,MATCH($F11,Options!$A$5:$A$104,0),MATCH(N$4,Options!$U$4:$AA$4,0)),0),IFERROR(N($I11)*INDEX(Options!$U$5:$AA$104,MATCH($H11,Options!$A$5:$A$104,0),MATCH(N$4,Options!$U$4:$AA$4,0)),0),IFERROR(N($K11)*INDEX(Options!$U$5:$AA$104,MATCH($J11,Options!$A$5:$A$104,0),MATCH(N$4,Options!$U$4:$AA$4,0)),0))</f>
        <v>11</v>
      </c>
      <c r="O11" s="105">
        <f>SUM(IFERROR(N($C11)*INDEX(Options!$U$5:$AA$104,MATCH($B11,Options!$A$5:$A$104,0),MATCH(O$4,Options!$U$4:$AA$4,0)),0),IFERROR(N($E11)*INDEX(Options!$U$5:$AA$104,MATCH($D11,Options!$A$5:$A$104,0),MATCH(O$4,Options!$U$4:$AA$4,0)),0),IFERROR(N($G11)*INDEX(Options!$U$5:$AA$104,MATCH($F11,Options!$A$5:$A$104,0),MATCH(O$4,Options!$U$4:$AA$4,0)),0),IFERROR(N($I11)*INDEX(Options!$U$5:$AA$104,MATCH($H11,Options!$A$5:$A$104,0),MATCH(O$4,Options!$U$4:$AA$4,0)),0),IFERROR(N($K11)*INDEX(Options!$U$5:$AA$104,MATCH($J11,Options!$A$5:$A$104,0),MATCH(O$4,Options!$U$4:$AA$4,0)),0))</f>
        <v>3</v>
      </c>
      <c r="P11" s="101">
        <f>SUM(IFERROR(N($C11)*INDEX(Options!$U$5:$AA$104,MATCH($B11,Options!$A$5:$A$104,0),MATCH(P$4,Options!$U$4:$AA$4,0)),0),IFERROR(N($E11)*INDEX(Options!$U$5:$AA$104,MATCH($D11,Options!$A$5:$A$104,0),MATCH(P$4,Options!$U$4:$AA$4,0)),0),IFERROR(N($G11)*INDEX(Options!$U$5:$AA$104,MATCH($F11,Options!$A$5:$A$104,0),MATCH(P$4,Options!$U$4:$AA$4,0)),0),IFERROR(N($I11)*INDEX(Options!$U$5:$AA$104,MATCH($H11,Options!$A$5:$A$104,0),MATCH(P$4,Options!$U$4:$AA$4,0)),0),IFERROR(N($K11)*INDEX(Options!$U$5:$AA$104,MATCH($J11,Options!$A$5:$A$104,0),MATCH(P$4,Options!$U$4:$AA$4,0)),0))</f>
        <v>0</v>
      </c>
      <c r="Q11" s="99">
        <f>SUM(IFERROR(N($C11)*INDEX(Options!$U$5:$AA$104,MATCH($B11,Options!$A$5:$A$104,0),MATCH(Q$4,Options!$U$4:$AA$4,0)),0),IFERROR(N($E11)*INDEX(Options!$U$5:$AA$104,MATCH($D11,Options!$A$5:$A$104,0),MATCH(Q$4,Options!$U$4:$AA$4,0)),0),IFERROR(N($G11)*INDEX(Options!$U$5:$AA$104,MATCH($F11,Options!$A$5:$A$104,0),MATCH(Q$4,Options!$U$4:$AA$4,0)),0),IFERROR(N($I11)*INDEX(Options!$U$5:$AA$104,MATCH($H11,Options!$A$5:$A$104,0),MATCH(Q$4,Options!$U$4:$AA$4,0)),0),IFERROR(N($K11)*INDEX(Options!$U$5:$AA$104,MATCH($J11,Options!$A$5:$A$104,0),MATCH(Q$4,Options!$U$4:$AA$4,0)),0))</f>
        <v>0</v>
      </c>
      <c r="R11" s="99">
        <f>SUM(IFERROR(N($C11)*INDEX(Options!$U$5:$AA$104,MATCH($B11,Options!$A$5:$A$104,0),MATCH(R$4,Options!$U$4:$AA$4,0)),0),IFERROR(N($E11)*INDEX(Options!$U$5:$AA$104,MATCH($D11,Options!$A$5:$A$104,0),MATCH(R$4,Options!$U$4:$AA$4,0)),0),IFERROR(N($G11)*INDEX(Options!$U$5:$AA$104,MATCH($F11,Options!$A$5:$A$104,0),MATCH(R$4,Options!$U$4:$AA$4,0)),0),IFERROR(N($I11)*INDEX(Options!$U$5:$AA$104,MATCH($H11,Options!$A$5:$A$104,0),MATCH(R$4,Options!$U$4:$AA$4,0)),0),IFERROR(N($K11)*INDEX(Options!$U$5:$AA$104,MATCH($J11,Options!$A$5:$A$104,0),MATCH(R$4,Options!$U$4:$AA$4,0)),0))</f>
        <v>10</v>
      </c>
      <c r="S11" s="97">
        <f>SUM(IFERROR(N($C11)*INDEX(Options!$U$5:$AA$104,MATCH($B11,Options!$A$5:$A$104,0),MATCH(S$4,Options!$U$4:$AA$4,0)),0),IFERROR(N($E11)*INDEX(Options!$U$5:$AA$104,MATCH($D11,Options!$A$5:$A$104,0),MATCH(S$4,Options!$U$4:$AA$4,0)),0),IFERROR(N($G11)*INDEX(Options!$U$5:$AA$104,MATCH($F11,Options!$A$5:$A$104,0),MATCH(S$4,Options!$U$4:$AA$4,0)),0),IFERROR(N($I11)*INDEX(Options!$U$5:$AA$104,MATCH($H11,Options!$A$5:$A$104,0),MATCH(S$4,Options!$U$4:$AA$4,0)),0),IFERROR(N($K11)*INDEX(Options!$U$5:$AA$104,MATCH($J11,Options!$A$5:$A$104,0),MATCH(S$4,Options!$U$4:$AA$4,0)),0))</f>
        <v>0</v>
      </c>
    </row>
    <row r="12" spans="1:20" ht="17.55" customHeight="1">
      <c r="A12" s="87" t="s">
        <v>193</v>
      </c>
      <c r="B12" s="88" t="s">
        <v>179</v>
      </c>
      <c r="C12" s="88">
        <v>3</v>
      </c>
      <c r="D12" s="88" t="s">
        <v>180</v>
      </c>
      <c r="E12" s="88">
        <v>1</v>
      </c>
      <c r="F12" s="88" t="s">
        <v>181</v>
      </c>
      <c r="G12" s="88">
        <v>1</v>
      </c>
      <c r="H12" s="88"/>
      <c r="I12" s="88"/>
      <c r="J12" s="88"/>
      <c r="K12" s="88"/>
      <c r="L12" s="90">
        <f>SUM(IFERROR(N($C12)*N(INDEX(Options!$P$5:$P$104,MATCH($B12,Options!$A$5:$A$104,0))),0),IFERROR(N($E12)*N(INDEX(Options!$P$5:$P$104,MATCH($D12,Options!$A$5:$A$104,0))),0),IFERROR(N($G12)*N(INDEX(Options!$P$5:$P$104,MATCH($F12,Options!$A$5:$A$104,0))),0),IFERROR(N($I12)*N(INDEX(Options!$P$5:$P$104,MATCH($H12,Options!$A$5:$A$104,0))),0),IFERROR(N($K12)*N(INDEX(Options!$P$5:$P$104,MATCH($J12,Options!$A$5:$A$104,0))),0))</f>
        <v>15750</v>
      </c>
      <c r="M12" s="90">
        <f>SUM(IFERROR(N($C12)*INDEX(Options!$U$5:$AA$104,MATCH($B12,Options!$A$5:$A$104,0),MATCH(M$4,Options!$U$4:$AA$4,0)),0),IFERROR(N($E12)*INDEX(Options!$U$5:$AA$104,MATCH($D12,Options!$A$5:$A$104,0),MATCH(M$4,Options!$U$4:$AA$4,0)),0),IFERROR(N($G12)*INDEX(Options!$U$5:$AA$104,MATCH($F12,Options!$A$5:$A$104,0),MATCH(M$4,Options!$U$4:$AA$4,0)),0),IFERROR(N($I12)*INDEX(Options!$U$5:$AA$104,MATCH($H12,Options!$A$5:$A$104,0),MATCH(M$4,Options!$U$4:$AA$4,0)),0),IFERROR(N($K12)*INDEX(Options!$U$5:$AA$104,MATCH($J12,Options!$A$5:$A$104,0),MATCH(M$4,Options!$U$4:$AA$4,0)),0))</f>
        <v>14</v>
      </c>
      <c r="N12" s="103">
        <f>SUM(IFERROR(N($C12)*INDEX(Options!$U$5:$AA$104,MATCH($B12,Options!$A$5:$A$104,0),MATCH(N$4,Options!$U$4:$AA$4,0)),0),IFERROR(N($E12)*INDEX(Options!$U$5:$AA$104,MATCH($D12,Options!$A$5:$A$104,0),MATCH(N$4,Options!$U$4:$AA$4,0)),0),IFERROR(N($G12)*INDEX(Options!$U$5:$AA$104,MATCH($F12,Options!$A$5:$A$104,0),MATCH(N$4,Options!$U$4:$AA$4,0)),0),IFERROR(N($I12)*INDEX(Options!$U$5:$AA$104,MATCH($H12,Options!$A$5:$A$104,0),MATCH(N$4,Options!$U$4:$AA$4,0)),0),IFERROR(N($K12)*INDEX(Options!$U$5:$AA$104,MATCH($J12,Options!$A$5:$A$104,0),MATCH(N$4,Options!$U$4:$AA$4,0)),0))</f>
        <v>13</v>
      </c>
      <c r="O12" s="105">
        <f>SUM(IFERROR(N($C12)*INDEX(Options!$U$5:$AA$104,MATCH($B12,Options!$A$5:$A$104,0),MATCH(O$4,Options!$U$4:$AA$4,0)),0),IFERROR(N($E12)*INDEX(Options!$U$5:$AA$104,MATCH($D12,Options!$A$5:$A$104,0),MATCH(O$4,Options!$U$4:$AA$4,0)),0),IFERROR(N($G12)*INDEX(Options!$U$5:$AA$104,MATCH($F12,Options!$A$5:$A$104,0),MATCH(O$4,Options!$U$4:$AA$4,0)),0),IFERROR(N($I12)*INDEX(Options!$U$5:$AA$104,MATCH($H12,Options!$A$5:$A$104,0),MATCH(O$4,Options!$U$4:$AA$4,0)),0),IFERROR(N($K12)*INDEX(Options!$U$5:$AA$104,MATCH($J12,Options!$A$5:$A$104,0),MATCH(O$4,Options!$U$4:$AA$4,0)),0))</f>
        <v>4</v>
      </c>
      <c r="P12" s="101">
        <f>SUM(IFERROR(N($C12)*INDEX(Options!$U$5:$AA$104,MATCH($B12,Options!$A$5:$A$104,0),MATCH(P$4,Options!$U$4:$AA$4,0)),0),IFERROR(N($E12)*INDEX(Options!$U$5:$AA$104,MATCH($D12,Options!$A$5:$A$104,0),MATCH(P$4,Options!$U$4:$AA$4,0)),0),IFERROR(N($G12)*INDEX(Options!$U$5:$AA$104,MATCH($F12,Options!$A$5:$A$104,0),MATCH(P$4,Options!$U$4:$AA$4,0)),0),IFERROR(N($I12)*INDEX(Options!$U$5:$AA$104,MATCH($H12,Options!$A$5:$A$104,0),MATCH(P$4,Options!$U$4:$AA$4,0)),0),IFERROR(N($K12)*INDEX(Options!$U$5:$AA$104,MATCH($J12,Options!$A$5:$A$104,0),MATCH(P$4,Options!$U$4:$AA$4,0)),0))</f>
        <v>0</v>
      </c>
      <c r="Q12" s="99">
        <f>SUM(IFERROR(N($C12)*INDEX(Options!$U$5:$AA$104,MATCH($B12,Options!$A$5:$A$104,0),MATCH(Q$4,Options!$U$4:$AA$4,0)),0),IFERROR(N($E12)*INDEX(Options!$U$5:$AA$104,MATCH($D12,Options!$A$5:$A$104,0),MATCH(Q$4,Options!$U$4:$AA$4,0)),0),IFERROR(N($G12)*INDEX(Options!$U$5:$AA$104,MATCH($F12,Options!$A$5:$A$104,0),MATCH(Q$4,Options!$U$4:$AA$4,0)),0),IFERROR(N($I12)*INDEX(Options!$U$5:$AA$104,MATCH($H12,Options!$A$5:$A$104,0),MATCH(Q$4,Options!$U$4:$AA$4,0)),0),IFERROR(N($K12)*INDEX(Options!$U$5:$AA$104,MATCH($J12,Options!$A$5:$A$104,0),MATCH(Q$4,Options!$U$4:$AA$4,0)),0))</f>
        <v>0</v>
      </c>
      <c r="R12" s="99">
        <f>SUM(IFERROR(N($C12)*INDEX(Options!$U$5:$AA$104,MATCH($B12,Options!$A$5:$A$104,0),MATCH(R$4,Options!$U$4:$AA$4,0)),0),IFERROR(N($E12)*INDEX(Options!$U$5:$AA$104,MATCH($D12,Options!$A$5:$A$104,0),MATCH(R$4,Options!$U$4:$AA$4,0)),0),IFERROR(N($G12)*INDEX(Options!$U$5:$AA$104,MATCH($F12,Options!$A$5:$A$104,0),MATCH(R$4,Options!$U$4:$AA$4,0)),0),IFERROR(N($I12)*INDEX(Options!$U$5:$AA$104,MATCH($H12,Options!$A$5:$A$104,0),MATCH(R$4,Options!$U$4:$AA$4,0)),0),IFERROR(N($K12)*INDEX(Options!$U$5:$AA$104,MATCH($J12,Options!$A$5:$A$104,0),MATCH(R$4,Options!$U$4:$AA$4,0)),0))</f>
        <v>0</v>
      </c>
      <c r="S12" s="97">
        <f>SUM(IFERROR(N($C12)*INDEX(Options!$U$5:$AA$104,MATCH($B12,Options!$A$5:$A$104,0),MATCH(S$4,Options!$U$4:$AA$4,0)),0),IFERROR(N($E12)*INDEX(Options!$U$5:$AA$104,MATCH($D12,Options!$A$5:$A$104,0),MATCH(S$4,Options!$U$4:$AA$4,0)),0),IFERROR(N($G12)*INDEX(Options!$U$5:$AA$104,MATCH($F12,Options!$A$5:$A$104,0),MATCH(S$4,Options!$U$4:$AA$4,0)),0),IFERROR(N($I12)*INDEX(Options!$U$5:$AA$104,MATCH($H12,Options!$A$5:$A$104,0),MATCH(S$4,Options!$U$4:$AA$4,0)),0),IFERROR(N($K12)*INDEX(Options!$U$5:$AA$104,MATCH($J12,Options!$A$5:$A$104,0),MATCH(S$4,Options!$U$4:$AA$4,0)),0))</f>
        <v>6</v>
      </c>
    </row>
    <row r="13" spans="1:20" ht="17.55" customHeight="1">
      <c r="A13" s="87" t="s">
        <v>159</v>
      </c>
      <c r="B13" s="88"/>
      <c r="C13" s="88"/>
      <c r="D13" s="88"/>
      <c r="E13" s="88"/>
      <c r="F13" s="88"/>
      <c r="G13" s="88"/>
      <c r="H13" s="88"/>
      <c r="I13" s="88"/>
      <c r="J13" s="88"/>
      <c r="K13" s="88"/>
      <c r="L13" s="90">
        <f>SUM(IFERROR(N($C13)*N(INDEX(Options!$P$5:$P$104,MATCH($B13,Options!$A$5:$A$104,0))),0),IFERROR(N($E13)*N(INDEX(Options!$P$5:$P$104,MATCH($D13,Options!$A$5:$A$104,0))),0),IFERROR(N($G13)*N(INDEX(Options!$P$5:$P$104,MATCH($F13,Options!$A$5:$A$104,0))),0),IFERROR(N($I13)*N(INDEX(Options!$P$5:$P$104,MATCH($H13,Options!$A$5:$A$104,0))),0),IFERROR(N($K13)*N(INDEX(Options!$P$5:$P$104,MATCH($J13,Options!$A$5:$A$104,0))),0))</f>
        <v>0</v>
      </c>
      <c r="M13" s="90">
        <f>SUM(IFERROR(N($C13)*INDEX(Options!$U$5:$AA$104,MATCH($B13,Options!$A$5:$A$104,0),MATCH(M$4,Options!$U$4:$AA$4,0)),0),IFERROR(N($E13)*INDEX(Options!$U$5:$AA$104,MATCH($D13,Options!$A$5:$A$104,0),MATCH(M$4,Options!$U$4:$AA$4,0)),0),IFERROR(N($G13)*INDEX(Options!$U$5:$AA$104,MATCH($F13,Options!$A$5:$A$104,0),MATCH(M$4,Options!$U$4:$AA$4,0)),0),IFERROR(N($I13)*INDEX(Options!$U$5:$AA$104,MATCH($H13,Options!$A$5:$A$104,0),MATCH(M$4,Options!$U$4:$AA$4,0)),0),IFERROR(N($K13)*INDEX(Options!$U$5:$AA$104,MATCH($J13,Options!$A$5:$A$104,0),MATCH(M$4,Options!$U$4:$AA$4,0)),0))</f>
        <v>0</v>
      </c>
      <c r="N13" s="103">
        <f>SUM(IFERROR(N($C13)*INDEX(Options!$U$5:$AA$104,MATCH($B13,Options!$A$5:$A$104,0),MATCH(N$4,Options!$U$4:$AA$4,0)),0),IFERROR(N($E13)*INDEX(Options!$U$5:$AA$104,MATCH($D13,Options!$A$5:$A$104,0),MATCH(N$4,Options!$U$4:$AA$4,0)),0),IFERROR(N($G13)*INDEX(Options!$U$5:$AA$104,MATCH($F13,Options!$A$5:$A$104,0),MATCH(N$4,Options!$U$4:$AA$4,0)),0),IFERROR(N($I13)*INDEX(Options!$U$5:$AA$104,MATCH($H13,Options!$A$5:$A$104,0),MATCH(N$4,Options!$U$4:$AA$4,0)),0),IFERROR(N($K13)*INDEX(Options!$U$5:$AA$104,MATCH($J13,Options!$A$5:$A$104,0),MATCH(N$4,Options!$U$4:$AA$4,0)),0))</f>
        <v>0</v>
      </c>
      <c r="O13" s="105">
        <f>SUM(IFERROR(N($C13)*INDEX(Options!$U$5:$AA$104,MATCH($B13,Options!$A$5:$A$104,0),MATCH(O$4,Options!$U$4:$AA$4,0)),0),IFERROR(N($E13)*INDEX(Options!$U$5:$AA$104,MATCH($D13,Options!$A$5:$A$104,0),MATCH(O$4,Options!$U$4:$AA$4,0)),0),IFERROR(N($G13)*INDEX(Options!$U$5:$AA$104,MATCH($F13,Options!$A$5:$A$104,0),MATCH(O$4,Options!$U$4:$AA$4,0)),0),IFERROR(N($I13)*INDEX(Options!$U$5:$AA$104,MATCH($H13,Options!$A$5:$A$104,0),MATCH(O$4,Options!$U$4:$AA$4,0)),0),IFERROR(N($K13)*INDEX(Options!$U$5:$AA$104,MATCH($J13,Options!$A$5:$A$104,0),MATCH(O$4,Options!$U$4:$AA$4,0)),0))</f>
        <v>0</v>
      </c>
      <c r="P13" s="101">
        <f>SUM(IFERROR(N($C13)*INDEX(Options!$U$5:$AA$104,MATCH($B13,Options!$A$5:$A$104,0),MATCH(P$4,Options!$U$4:$AA$4,0)),0),IFERROR(N($E13)*INDEX(Options!$U$5:$AA$104,MATCH($D13,Options!$A$5:$A$104,0),MATCH(P$4,Options!$U$4:$AA$4,0)),0),IFERROR(N($G13)*INDEX(Options!$U$5:$AA$104,MATCH($F13,Options!$A$5:$A$104,0),MATCH(P$4,Options!$U$4:$AA$4,0)),0),IFERROR(N($I13)*INDEX(Options!$U$5:$AA$104,MATCH($H13,Options!$A$5:$A$104,0),MATCH(P$4,Options!$U$4:$AA$4,0)),0),IFERROR(N($K13)*INDEX(Options!$U$5:$AA$104,MATCH($J13,Options!$A$5:$A$104,0),MATCH(P$4,Options!$U$4:$AA$4,0)),0))</f>
        <v>0</v>
      </c>
      <c r="Q13" s="99">
        <f>SUM(IFERROR(N($C13)*INDEX(Options!$U$5:$AA$104,MATCH($B13,Options!$A$5:$A$104,0),MATCH(Q$4,Options!$U$4:$AA$4,0)),0),IFERROR(N($E13)*INDEX(Options!$U$5:$AA$104,MATCH($D13,Options!$A$5:$A$104,0),MATCH(Q$4,Options!$U$4:$AA$4,0)),0),IFERROR(N($G13)*INDEX(Options!$U$5:$AA$104,MATCH($F13,Options!$A$5:$A$104,0),MATCH(Q$4,Options!$U$4:$AA$4,0)),0),IFERROR(N($I13)*INDEX(Options!$U$5:$AA$104,MATCH($H13,Options!$A$5:$A$104,0),MATCH(Q$4,Options!$U$4:$AA$4,0)),0),IFERROR(N($K13)*INDEX(Options!$U$5:$AA$104,MATCH($J13,Options!$A$5:$A$104,0),MATCH(Q$4,Options!$U$4:$AA$4,0)),0))</f>
        <v>0</v>
      </c>
      <c r="R13" s="99">
        <f>SUM(IFERROR(N($C13)*INDEX(Options!$U$5:$AA$104,MATCH($B13,Options!$A$5:$A$104,0),MATCH(R$4,Options!$U$4:$AA$4,0)),0),IFERROR(N($E13)*INDEX(Options!$U$5:$AA$104,MATCH($D13,Options!$A$5:$A$104,0),MATCH(R$4,Options!$U$4:$AA$4,0)),0),IFERROR(N($G13)*INDEX(Options!$U$5:$AA$104,MATCH($F13,Options!$A$5:$A$104,0),MATCH(R$4,Options!$U$4:$AA$4,0)),0),IFERROR(N($I13)*INDEX(Options!$U$5:$AA$104,MATCH($H13,Options!$A$5:$A$104,0),MATCH(R$4,Options!$U$4:$AA$4,0)),0),IFERROR(N($K13)*INDEX(Options!$U$5:$AA$104,MATCH($J13,Options!$A$5:$A$104,0),MATCH(R$4,Options!$U$4:$AA$4,0)),0))</f>
        <v>0</v>
      </c>
      <c r="S13" s="97">
        <f>SUM(IFERROR(N($C13)*INDEX(Options!$U$5:$AA$104,MATCH($B13,Options!$A$5:$A$104,0),MATCH(S$4,Options!$U$4:$AA$4,0)),0),IFERROR(N($E13)*INDEX(Options!$U$5:$AA$104,MATCH($D13,Options!$A$5:$A$104,0),MATCH(S$4,Options!$U$4:$AA$4,0)),0),IFERROR(N($G13)*INDEX(Options!$U$5:$AA$104,MATCH($F13,Options!$A$5:$A$104,0),MATCH(S$4,Options!$U$4:$AA$4,0)),0),IFERROR(N($I13)*INDEX(Options!$U$5:$AA$104,MATCH($H13,Options!$A$5:$A$104,0),MATCH(S$4,Options!$U$4:$AA$4,0)),0),IFERROR(N($K13)*INDEX(Options!$U$5:$AA$104,MATCH($J13,Options!$A$5:$A$104,0),MATCH(S$4,Options!$U$4:$AA$4,0)),0))</f>
        <v>0</v>
      </c>
    </row>
    <row r="14" spans="1:20" ht="17.55" customHeight="1">
      <c r="A14" s="87" t="s">
        <v>160</v>
      </c>
      <c r="B14" s="88"/>
      <c r="C14" s="88"/>
      <c r="D14" s="88"/>
      <c r="E14" s="88"/>
      <c r="F14" s="88"/>
      <c r="G14" s="88"/>
      <c r="H14" s="88"/>
      <c r="I14" s="88"/>
      <c r="J14" s="88"/>
      <c r="K14" s="88"/>
      <c r="L14" s="90">
        <f>SUM(IFERROR(N($C14)*N(INDEX(Options!$P$5:$P$104,MATCH($B14,Options!$A$5:$A$104,0))),0),IFERROR(N($E14)*N(INDEX(Options!$P$5:$P$104,MATCH($D14,Options!$A$5:$A$104,0))),0),IFERROR(N($G14)*N(INDEX(Options!$P$5:$P$104,MATCH($F14,Options!$A$5:$A$104,0))),0),IFERROR(N($I14)*N(INDEX(Options!$P$5:$P$104,MATCH($H14,Options!$A$5:$A$104,0))),0),IFERROR(N($K14)*N(INDEX(Options!$P$5:$P$104,MATCH($J14,Options!$A$5:$A$104,0))),0))</f>
        <v>0</v>
      </c>
      <c r="M14" s="90">
        <f>SUM(IFERROR(N($C14)*INDEX(Options!$U$5:$AA$104,MATCH($B14,Options!$A$5:$A$104,0),MATCH(M$4,Options!$U$4:$AA$4,0)),0),IFERROR(N($E14)*INDEX(Options!$U$5:$AA$104,MATCH($D14,Options!$A$5:$A$104,0),MATCH(M$4,Options!$U$4:$AA$4,0)),0),IFERROR(N($G14)*INDEX(Options!$U$5:$AA$104,MATCH($F14,Options!$A$5:$A$104,0),MATCH(M$4,Options!$U$4:$AA$4,0)),0),IFERROR(N($I14)*INDEX(Options!$U$5:$AA$104,MATCH($H14,Options!$A$5:$A$104,0),MATCH(M$4,Options!$U$4:$AA$4,0)),0),IFERROR(N($K14)*INDEX(Options!$U$5:$AA$104,MATCH($J14,Options!$A$5:$A$104,0),MATCH(M$4,Options!$U$4:$AA$4,0)),0))</f>
        <v>0</v>
      </c>
      <c r="N14" s="103">
        <f>SUM(IFERROR(N($C14)*INDEX(Options!$U$5:$AA$104,MATCH($B14,Options!$A$5:$A$104,0),MATCH(N$4,Options!$U$4:$AA$4,0)),0),IFERROR(N($E14)*INDEX(Options!$U$5:$AA$104,MATCH($D14,Options!$A$5:$A$104,0),MATCH(N$4,Options!$U$4:$AA$4,0)),0),IFERROR(N($G14)*INDEX(Options!$U$5:$AA$104,MATCH($F14,Options!$A$5:$A$104,0),MATCH(N$4,Options!$U$4:$AA$4,0)),0),IFERROR(N($I14)*INDEX(Options!$U$5:$AA$104,MATCH($H14,Options!$A$5:$A$104,0),MATCH(N$4,Options!$U$4:$AA$4,0)),0),IFERROR(N($K14)*INDEX(Options!$U$5:$AA$104,MATCH($J14,Options!$A$5:$A$104,0),MATCH(N$4,Options!$U$4:$AA$4,0)),0))</f>
        <v>0</v>
      </c>
      <c r="O14" s="105">
        <f>SUM(IFERROR(N($C14)*INDEX(Options!$U$5:$AA$104,MATCH($B14,Options!$A$5:$A$104,0),MATCH(O$4,Options!$U$4:$AA$4,0)),0),IFERROR(N($E14)*INDEX(Options!$U$5:$AA$104,MATCH($D14,Options!$A$5:$A$104,0),MATCH(O$4,Options!$U$4:$AA$4,0)),0),IFERROR(N($G14)*INDEX(Options!$U$5:$AA$104,MATCH($F14,Options!$A$5:$A$104,0),MATCH(O$4,Options!$U$4:$AA$4,0)),0),IFERROR(N($I14)*INDEX(Options!$U$5:$AA$104,MATCH($H14,Options!$A$5:$A$104,0),MATCH(O$4,Options!$U$4:$AA$4,0)),0),IFERROR(N($K14)*INDEX(Options!$U$5:$AA$104,MATCH($J14,Options!$A$5:$A$104,0),MATCH(O$4,Options!$U$4:$AA$4,0)),0))</f>
        <v>0</v>
      </c>
      <c r="P14" s="101">
        <f>SUM(IFERROR(N($C14)*INDEX(Options!$U$5:$AA$104,MATCH($B14,Options!$A$5:$A$104,0),MATCH(P$4,Options!$U$4:$AA$4,0)),0),IFERROR(N($E14)*INDEX(Options!$U$5:$AA$104,MATCH($D14,Options!$A$5:$A$104,0),MATCH(P$4,Options!$U$4:$AA$4,0)),0),IFERROR(N($G14)*INDEX(Options!$U$5:$AA$104,MATCH($F14,Options!$A$5:$A$104,0),MATCH(P$4,Options!$U$4:$AA$4,0)),0),IFERROR(N($I14)*INDEX(Options!$U$5:$AA$104,MATCH($H14,Options!$A$5:$A$104,0),MATCH(P$4,Options!$U$4:$AA$4,0)),0),IFERROR(N($K14)*INDEX(Options!$U$5:$AA$104,MATCH($J14,Options!$A$5:$A$104,0),MATCH(P$4,Options!$U$4:$AA$4,0)),0))</f>
        <v>0</v>
      </c>
      <c r="Q14" s="99">
        <f>SUM(IFERROR(N($C14)*INDEX(Options!$U$5:$AA$104,MATCH($B14,Options!$A$5:$A$104,0),MATCH(Q$4,Options!$U$4:$AA$4,0)),0),IFERROR(N($E14)*INDEX(Options!$U$5:$AA$104,MATCH($D14,Options!$A$5:$A$104,0),MATCH(Q$4,Options!$U$4:$AA$4,0)),0),IFERROR(N($G14)*INDEX(Options!$U$5:$AA$104,MATCH($F14,Options!$A$5:$A$104,0),MATCH(Q$4,Options!$U$4:$AA$4,0)),0),IFERROR(N($I14)*INDEX(Options!$U$5:$AA$104,MATCH($H14,Options!$A$5:$A$104,0),MATCH(Q$4,Options!$U$4:$AA$4,0)),0),IFERROR(N($K14)*INDEX(Options!$U$5:$AA$104,MATCH($J14,Options!$A$5:$A$104,0),MATCH(Q$4,Options!$U$4:$AA$4,0)),0))</f>
        <v>0</v>
      </c>
      <c r="R14" s="99">
        <f>SUM(IFERROR(N($C14)*INDEX(Options!$U$5:$AA$104,MATCH($B14,Options!$A$5:$A$104,0),MATCH(R$4,Options!$U$4:$AA$4,0)),0),IFERROR(N($E14)*INDEX(Options!$U$5:$AA$104,MATCH($D14,Options!$A$5:$A$104,0),MATCH(R$4,Options!$U$4:$AA$4,0)),0),IFERROR(N($G14)*INDEX(Options!$U$5:$AA$104,MATCH($F14,Options!$A$5:$A$104,0),MATCH(R$4,Options!$U$4:$AA$4,0)),0),IFERROR(N($I14)*INDEX(Options!$U$5:$AA$104,MATCH($H14,Options!$A$5:$A$104,0),MATCH(R$4,Options!$U$4:$AA$4,0)),0),IFERROR(N($K14)*INDEX(Options!$U$5:$AA$104,MATCH($J14,Options!$A$5:$A$104,0),MATCH(R$4,Options!$U$4:$AA$4,0)),0))</f>
        <v>0</v>
      </c>
      <c r="S14" s="97">
        <f>SUM(IFERROR(N($C14)*INDEX(Options!$U$5:$AA$104,MATCH($B14,Options!$A$5:$A$104,0),MATCH(S$4,Options!$U$4:$AA$4,0)),0),IFERROR(N($E14)*INDEX(Options!$U$5:$AA$104,MATCH($D14,Options!$A$5:$A$104,0),MATCH(S$4,Options!$U$4:$AA$4,0)),0),IFERROR(N($G14)*INDEX(Options!$U$5:$AA$104,MATCH($F14,Options!$A$5:$A$104,0),MATCH(S$4,Options!$U$4:$AA$4,0)),0),IFERROR(N($I14)*INDEX(Options!$U$5:$AA$104,MATCH($H14,Options!$A$5:$A$104,0),MATCH(S$4,Options!$U$4:$AA$4,0)),0),IFERROR(N($K14)*INDEX(Options!$U$5:$AA$104,MATCH($J14,Options!$A$5:$A$104,0),MATCH(S$4,Options!$U$4:$AA$4,0)),0))</f>
        <v>0</v>
      </c>
    </row>
    <row r="15" spans="1:20" ht="17.55" customHeight="1">
      <c r="A15" s="87" t="s">
        <v>161</v>
      </c>
      <c r="B15" s="88"/>
      <c r="C15" s="88"/>
      <c r="D15" s="88"/>
      <c r="E15" s="88"/>
      <c r="F15" s="88"/>
      <c r="G15" s="88"/>
      <c r="H15" s="88"/>
      <c r="I15" s="88"/>
      <c r="J15" s="88"/>
      <c r="K15" s="88"/>
      <c r="L15" s="90">
        <f>SUM(IFERROR(N($C15)*N(INDEX(Options!$P$5:$P$104,MATCH($B15,Options!$A$5:$A$104,0))),0),IFERROR(N($E15)*N(INDEX(Options!$P$5:$P$104,MATCH($D15,Options!$A$5:$A$104,0))),0),IFERROR(N($G15)*N(INDEX(Options!$P$5:$P$104,MATCH($F15,Options!$A$5:$A$104,0))),0),IFERROR(N($I15)*N(INDEX(Options!$P$5:$P$104,MATCH($H15,Options!$A$5:$A$104,0))),0),IFERROR(N($K15)*N(INDEX(Options!$P$5:$P$104,MATCH($J15,Options!$A$5:$A$104,0))),0))</f>
        <v>0</v>
      </c>
      <c r="M15" s="90">
        <f>SUM(IFERROR(N($C15)*INDEX(Options!$U$5:$AA$104,MATCH($B15,Options!$A$5:$A$104,0),MATCH(M$4,Options!$U$4:$AA$4,0)),0),IFERROR(N($E15)*INDEX(Options!$U$5:$AA$104,MATCH($D15,Options!$A$5:$A$104,0),MATCH(M$4,Options!$U$4:$AA$4,0)),0),IFERROR(N($G15)*INDEX(Options!$U$5:$AA$104,MATCH($F15,Options!$A$5:$A$104,0),MATCH(M$4,Options!$U$4:$AA$4,0)),0),IFERROR(N($I15)*INDEX(Options!$U$5:$AA$104,MATCH($H15,Options!$A$5:$A$104,0),MATCH(M$4,Options!$U$4:$AA$4,0)),0),IFERROR(N($K15)*INDEX(Options!$U$5:$AA$104,MATCH($J15,Options!$A$5:$A$104,0),MATCH(M$4,Options!$U$4:$AA$4,0)),0))</f>
        <v>0</v>
      </c>
      <c r="N15" s="103">
        <f>SUM(IFERROR(N($C15)*INDEX(Options!$U$5:$AA$104,MATCH($B15,Options!$A$5:$A$104,0),MATCH(N$4,Options!$U$4:$AA$4,0)),0),IFERROR(N($E15)*INDEX(Options!$U$5:$AA$104,MATCH($D15,Options!$A$5:$A$104,0),MATCH(N$4,Options!$U$4:$AA$4,0)),0),IFERROR(N($G15)*INDEX(Options!$U$5:$AA$104,MATCH($F15,Options!$A$5:$A$104,0),MATCH(N$4,Options!$U$4:$AA$4,0)),0),IFERROR(N($I15)*INDEX(Options!$U$5:$AA$104,MATCH($H15,Options!$A$5:$A$104,0),MATCH(N$4,Options!$U$4:$AA$4,0)),0),IFERROR(N($K15)*INDEX(Options!$U$5:$AA$104,MATCH($J15,Options!$A$5:$A$104,0),MATCH(N$4,Options!$U$4:$AA$4,0)),0))</f>
        <v>0</v>
      </c>
      <c r="O15" s="105">
        <f>SUM(IFERROR(N($C15)*INDEX(Options!$U$5:$AA$104,MATCH($B15,Options!$A$5:$A$104,0),MATCH(O$4,Options!$U$4:$AA$4,0)),0),IFERROR(N($E15)*INDEX(Options!$U$5:$AA$104,MATCH($D15,Options!$A$5:$A$104,0),MATCH(O$4,Options!$U$4:$AA$4,0)),0),IFERROR(N($G15)*INDEX(Options!$U$5:$AA$104,MATCH($F15,Options!$A$5:$A$104,0),MATCH(O$4,Options!$U$4:$AA$4,0)),0),IFERROR(N($I15)*INDEX(Options!$U$5:$AA$104,MATCH($H15,Options!$A$5:$A$104,0),MATCH(O$4,Options!$U$4:$AA$4,0)),0),IFERROR(N($K15)*INDEX(Options!$U$5:$AA$104,MATCH($J15,Options!$A$5:$A$104,0),MATCH(O$4,Options!$U$4:$AA$4,0)),0))</f>
        <v>0</v>
      </c>
      <c r="P15" s="101">
        <f>SUM(IFERROR(N($C15)*INDEX(Options!$U$5:$AA$104,MATCH($B15,Options!$A$5:$A$104,0),MATCH(P$4,Options!$U$4:$AA$4,0)),0),IFERROR(N($E15)*INDEX(Options!$U$5:$AA$104,MATCH($D15,Options!$A$5:$A$104,0),MATCH(P$4,Options!$U$4:$AA$4,0)),0),IFERROR(N($G15)*INDEX(Options!$U$5:$AA$104,MATCH($F15,Options!$A$5:$A$104,0),MATCH(P$4,Options!$U$4:$AA$4,0)),0),IFERROR(N($I15)*INDEX(Options!$U$5:$AA$104,MATCH($H15,Options!$A$5:$A$104,0),MATCH(P$4,Options!$U$4:$AA$4,0)),0),IFERROR(N($K15)*INDEX(Options!$U$5:$AA$104,MATCH($J15,Options!$A$5:$A$104,0),MATCH(P$4,Options!$U$4:$AA$4,0)),0))</f>
        <v>0</v>
      </c>
      <c r="Q15" s="99">
        <f>SUM(IFERROR(N($C15)*INDEX(Options!$U$5:$AA$104,MATCH($B15,Options!$A$5:$A$104,0),MATCH(Q$4,Options!$U$4:$AA$4,0)),0),IFERROR(N($E15)*INDEX(Options!$U$5:$AA$104,MATCH($D15,Options!$A$5:$A$104,0),MATCH(Q$4,Options!$U$4:$AA$4,0)),0),IFERROR(N($G15)*INDEX(Options!$U$5:$AA$104,MATCH($F15,Options!$A$5:$A$104,0),MATCH(Q$4,Options!$U$4:$AA$4,0)),0),IFERROR(N($I15)*INDEX(Options!$U$5:$AA$104,MATCH($H15,Options!$A$5:$A$104,0),MATCH(Q$4,Options!$U$4:$AA$4,0)),0),IFERROR(N($K15)*INDEX(Options!$U$5:$AA$104,MATCH($J15,Options!$A$5:$A$104,0),MATCH(Q$4,Options!$U$4:$AA$4,0)),0))</f>
        <v>0</v>
      </c>
      <c r="R15" s="99">
        <f>SUM(IFERROR(N($C15)*INDEX(Options!$U$5:$AA$104,MATCH($B15,Options!$A$5:$A$104,0),MATCH(R$4,Options!$U$4:$AA$4,0)),0),IFERROR(N($E15)*INDEX(Options!$U$5:$AA$104,MATCH($D15,Options!$A$5:$A$104,0),MATCH(R$4,Options!$U$4:$AA$4,0)),0),IFERROR(N($G15)*INDEX(Options!$U$5:$AA$104,MATCH($F15,Options!$A$5:$A$104,0),MATCH(R$4,Options!$U$4:$AA$4,0)),0),IFERROR(N($I15)*INDEX(Options!$U$5:$AA$104,MATCH($H15,Options!$A$5:$A$104,0),MATCH(R$4,Options!$U$4:$AA$4,0)),0),IFERROR(N($K15)*INDEX(Options!$U$5:$AA$104,MATCH($J15,Options!$A$5:$A$104,0),MATCH(R$4,Options!$U$4:$AA$4,0)),0))</f>
        <v>0</v>
      </c>
      <c r="S15" s="97">
        <f>SUM(IFERROR(N($C15)*INDEX(Options!$U$5:$AA$104,MATCH($B15,Options!$A$5:$A$104,0),MATCH(S$4,Options!$U$4:$AA$4,0)),0),IFERROR(N($E15)*INDEX(Options!$U$5:$AA$104,MATCH($D15,Options!$A$5:$A$104,0),MATCH(S$4,Options!$U$4:$AA$4,0)),0),IFERROR(N($G15)*INDEX(Options!$U$5:$AA$104,MATCH($F15,Options!$A$5:$A$104,0),MATCH(S$4,Options!$U$4:$AA$4,0)),0),IFERROR(N($I15)*INDEX(Options!$U$5:$AA$104,MATCH($H15,Options!$A$5:$A$104,0),MATCH(S$4,Options!$U$4:$AA$4,0)),0),IFERROR(N($K15)*INDEX(Options!$U$5:$AA$104,MATCH($J15,Options!$A$5:$A$104,0),MATCH(S$4,Options!$U$4:$AA$4,0)),0))</f>
        <v>0</v>
      </c>
    </row>
    <row r="16" spans="1:20" ht="17.55" customHeight="1">
      <c r="A16" s="87" t="s">
        <v>162</v>
      </c>
      <c r="B16" s="88"/>
      <c r="C16" s="88"/>
      <c r="D16" s="88"/>
      <c r="E16" s="88"/>
      <c r="F16" s="88"/>
      <c r="G16" s="88"/>
      <c r="H16" s="88"/>
      <c r="I16" s="88"/>
      <c r="J16" s="88"/>
      <c r="K16" s="88"/>
      <c r="L16" s="90">
        <f>SUM(IFERROR(N($C16)*N(INDEX(Options!$P$5:$P$104,MATCH($B16,Options!$A$5:$A$104,0))),0),IFERROR(N($E16)*N(INDEX(Options!$P$5:$P$104,MATCH($D16,Options!$A$5:$A$104,0))),0),IFERROR(N($G16)*N(INDEX(Options!$P$5:$P$104,MATCH($F16,Options!$A$5:$A$104,0))),0),IFERROR(N($I16)*N(INDEX(Options!$P$5:$P$104,MATCH($H16,Options!$A$5:$A$104,0))),0),IFERROR(N($K16)*N(INDEX(Options!$P$5:$P$104,MATCH($J16,Options!$A$5:$A$104,0))),0))</f>
        <v>0</v>
      </c>
      <c r="M16" s="90">
        <f>SUM(IFERROR(N($C16)*INDEX(Options!$U$5:$AA$104,MATCH($B16,Options!$A$5:$A$104,0),MATCH(M$4,Options!$U$4:$AA$4,0)),0),IFERROR(N($E16)*INDEX(Options!$U$5:$AA$104,MATCH($D16,Options!$A$5:$A$104,0),MATCH(M$4,Options!$U$4:$AA$4,0)),0),IFERROR(N($G16)*INDEX(Options!$U$5:$AA$104,MATCH($F16,Options!$A$5:$A$104,0),MATCH(M$4,Options!$U$4:$AA$4,0)),0),IFERROR(N($I16)*INDEX(Options!$U$5:$AA$104,MATCH($H16,Options!$A$5:$A$104,0),MATCH(M$4,Options!$U$4:$AA$4,0)),0),IFERROR(N($K16)*INDEX(Options!$U$5:$AA$104,MATCH($J16,Options!$A$5:$A$104,0),MATCH(M$4,Options!$U$4:$AA$4,0)),0))</f>
        <v>0</v>
      </c>
      <c r="N16" s="103">
        <f>SUM(IFERROR(N($C16)*INDEX(Options!$U$5:$AA$104,MATCH($B16,Options!$A$5:$A$104,0),MATCH(N$4,Options!$U$4:$AA$4,0)),0),IFERROR(N($E16)*INDEX(Options!$U$5:$AA$104,MATCH($D16,Options!$A$5:$A$104,0),MATCH(N$4,Options!$U$4:$AA$4,0)),0),IFERROR(N($G16)*INDEX(Options!$U$5:$AA$104,MATCH($F16,Options!$A$5:$A$104,0),MATCH(N$4,Options!$U$4:$AA$4,0)),0),IFERROR(N($I16)*INDEX(Options!$U$5:$AA$104,MATCH($H16,Options!$A$5:$A$104,0),MATCH(N$4,Options!$U$4:$AA$4,0)),0),IFERROR(N($K16)*INDEX(Options!$U$5:$AA$104,MATCH($J16,Options!$A$5:$A$104,0),MATCH(N$4,Options!$U$4:$AA$4,0)),0))</f>
        <v>0</v>
      </c>
      <c r="O16" s="105">
        <f>SUM(IFERROR(N($C16)*INDEX(Options!$U$5:$AA$104,MATCH($B16,Options!$A$5:$A$104,0),MATCH(O$4,Options!$U$4:$AA$4,0)),0),IFERROR(N($E16)*INDEX(Options!$U$5:$AA$104,MATCH($D16,Options!$A$5:$A$104,0),MATCH(O$4,Options!$U$4:$AA$4,0)),0),IFERROR(N($G16)*INDEX(Options!$U$5:$AA$104,MATCH($F16,Options!$A$5:$A$104,0),MATCH(O$4,Options!$U$4:$AA$4,0)),0),IFERROR(N($I16)*INDEX(Options!$U$5:$AA$104,MATCH($H16,Options!$A$5:$A$104,0),MATCH(O$4,Options!$U$4:$AA$4,0)),0),IFERROR(N($K16)*INDEX(Options!$U$5:$AA$104,MATCH($J16,Options!$A$5:$A$104,0),MATCH(O$4,Options!$U$4:$AA$4,0)),0))</f>
        <v>0</v>
      </c>
      <c r="P16" s="101">
        <f>SUM(IFERROR(N($C16)*INDEX(Options!$U$5:$AA$104,MATCH($B16,Options!$A$5:$A$104,0),MATCH(P$4,Options!$U$4:$AA$4,0)),0),IFERROR(N($E16)*INDEX(Options!$U$5:$AA$104,MATCH($D16,Options!$A$5:$A$104,0),MATCH(P$4,Options!$U$4:$AA$4,0)),0),IFERROR(N($G16)*INDEX(Options!$U$5:$AA$104,MATCH($F16,Options!$A$5:$A$104,0),MATCH(P$4,Options!$U$4:$AA$4,0)),0),IFERROR(N($I16)*INDEX(Options!$U$5:$AA$104,MATCH($H16,Options!$A$5:$A$104,0),MATCH(P$4,Options!$U$4:$AA$4,0)),0),IFERROR(N($K16)*INDEX(Options!$U$5:$AA$104,MATCH($J16,Options!$A$5:$A$104,0),MATCH(P$4,Options!$U$4:$AA$4,0)),0))</f>
        <v>0</v>
      </c>
      <c r="Q16" s="99">
        <f>SUM(IFERROR(N($C16)*INDEX(Options!$U$5:$AA$104,MATCH($B16,Options!$A$5:$A$104,0),MATCH(Q$4,Options!$U$4:$AA$4,0)),0),IFERROR(N($E16)*INDEX(Options!$U$5:$AA$104,MATCH($D16,Options!$A$5:$A$104,0),MATCH(Q$4,Options!$U$4:$AA$4,0)),0),IFERROR(N($G16)*INDEX(Options!$U$5:$AA$104,MATCH($F16,Options!$A$5:$A$104,0),MATCH(Q$4,Options!$U$4:$AA$4,0)),0),IFERROR(N($I16)*INDEX(Options!$U$5:$AA$104,MATCH($H16,Options!$A$5:$A$104,0),MATCH(Q$4,Options!$U$4:$AA$4,0)),0),IFERROR(N($K16)*INDEX(Options!$U$5:$AA$104,MATCH($J16,Options!$A$5:$A$104,0),MATCH(Q$4,Options!$U$4:$AA$4,0)),0))</f>
        <v>0</v>
      </c>
      <c r="R16" s="99">
        <f>SUM(IFERROR(N($C16)*INDEX(Options!$U$5:$AA$104,MATCH($B16,Options!$A$5:$A$104,0),MATCH(R$4,Options!$U$4:$AA$4,0)),0),IFERROR(N($E16)*INDEX(Options!$U$5:$AA$104,MATCH($D16,Options!$A$5:$A$104,0),MATCH(R$4,Options!$U$4:$AA$4,0)),0),IFERROR(N($G16)*INDEX(Options!$U$5:$AA$104,MATCH($F16,Options!$A$5:$A$104,0),MATCH(R$4,Options!$U$4:$AA$4,0)),0),IFERROR(N($I16)*INDEX(Options!$U$5:$AA$104,MATCH($H16,Options!$A$5:$A$104,0),MATCH(R$4,Options!$U$4:$AA$4,0)),0),IFERROR(N($K16)*INDEX(Options!$U$5:$AA$104,MATCH($J16,Options!$A$5:$A$104,0),MATCH(R$4,Options!$U$4:$AA$4,0)),0))</f>
        <v>0</v>
      </c>
      <c r="S16" s="97">
        <f>SUM(IFERROR(N($C16)*INDEX(Options!$U$5:$AA$104,MATCH($B16,Options!$A$5:$A$104,0),MATCH(S$4,Options!$U$4:$AA$4,0)),0),IFERROR(N($E16)*INDEX(Options!$U$5:$AA$104,MATCH($D16,Options!$A$5:$A$104,0),MATCH(S$4,Options!$U$4:$AA$4,0)),0),IFERROR(N($G16)*INDEX(Options!$U$5:$AA$104,MATCH($F16,Options!$A$5:$A$104,0),MATCH(S$4,Options!$U$4:$AA$4,0)),0),IFERROR(N($I16)*INDEX(Options!$U$5:$AA$104,MATCH($H16,Options!$A$5:$A$104,0),MATCH(S$4,Options!$U$4:$AA$4,0)),0),IFERROR(N($K16)*INDEX(Options!$U$5:$AA$104,MATCH($J16,Options!$A$5:$A$104,0),MATCH(S$4,Options!$U$4:$AA$4,0)),0))</f>
        <v>0</v>
      </c>
    </row>
    <row r="17" spans="1:19" ht="17.55" customHeight="1">
      <c r="A17" s="87" t="s">
        <v>163</v>
      </c>
      <c r="B17" s="88"/>
      <c r="C17" s="88"/>
      <c r="D17" s="88"/>
      <c r="E17" s="88"/>
      <c r="F17" s="88"/>
      <c r="G17" s="88"/>
      <c r="H17" s="88"/>
      <c r="I17" s="88"/>
      <c r="J17" s="88"/>
      <c r="K17" s="88"/>
      <c r="L17" s="90">
        <f>SUM(IFERROR(N($C17)*N(INDEX(Options!$P$5:$P$104,MATCH($B17,Options!$A$5:$A$104,0))),0),IFERROR(N($E17)*N(INDEX(Options!$P$5:$P$104,MATCH($D17,Options!$A$5:$A$104,0))),0),IFERROR(N($G17)*N(INDEX(Options!$P$5:$P$104,MATCH($F17,Options!$A$5:$A$104,0))),0),IFERROR(N($I17)*N(INDEX(Options!$P$5:$P$104,MATCH($H17,Options!$A$5:$A$104,0))),0),IFERROR(N($K17)*N(INDEX(Options!$P$5:$P$104,MATCH($J17,Options!$A$5:$A$104,0))),0))</f>
        <v>0</v>
      </c>
      <c r="M17" s="90">
        <f>SUM(IFERROR(N($C17)*INDEX(Options!$U$5:$AA$104,MATCH($B17,Options!$A$5:$A$104,0),MATCH(M$4,Options!$U$4:$AA$4,0)),0),IFERROR(N($E17)*INDEX(Options!$U$5:$AA$104,MATCH($D17,Options!$A$5:$A$104,0),MATCH(M$4,Options!$U$4:$AA$4,0)),0),IFERROR(N($G17)*INDEX(Options!$U$5:$AA$104,MATCH($F17,Options!$A$5:$A$104,0),MATCH(M$4,Options!$U$4:$AA$4,0)),0),IFERROR(N($I17)*INDEX(Options!$U$5:$AA$104,MATCH($H17,Options!$A$5:$A$104,0),MATCH(M$4,Options!$U$4:$AA$4,0)),0),IFERROR(N($K17)*INDEX(Options!$U$5:$AA$104,MATCH($J17,Options!$A$5:$A$104,0),MATCH(M$4,Options!$U$4:$AA$4,0)),0))</f>
        <v>0</v>
      </c>
      <c r="N17" s="103">
        <f>SUM(IFERROR(N($C17)*INDEX(Options!$U$5:$AA$104,MATCH($B17,Options!$A$5:$A$104,0),MATCH(N$4,Options!$U$4:$AA$4,0)),0),IFERROR(N($E17)*INDEX(Options!$U$5:$AA$104,MATCH($D17,Options!$A$5:$A$104,0),MATCH(N$4,Options!$U$4:$AA$4,0)),0),IFERROR(N($G17)*INDEX(Options!$U$5:$AA$104,MATCH($F17,Options!$A$5:$A$104,0),MATCH(N$4,Options!$U$4:$AA$4,0)),0),IFERROR(N($I17)*INDEX(Options!$U$5:$AA$104,MATCH($H17,Options!$A$5:$A$104,0),MATCH(N$4,Options!$U$4:$AA$4,0)),0),IFERROR(N($K17)*INDEX(Options!$U$5:$AA$104,MATCH($J17,Options!$A$5:$A$104,0),MATCH(N$4,Options!$U$4:$AA$4,0)),0))</f>
        <v>0</v>
      </c>
      <c r="O17" s="105">
        <f>SUM(IFERROR(N($C17)*INDEX(Options!$U$5:$AA$104,MATCH($B17,Options!$A$5:$A$104,0),MATCH(O$4,Options!$U$4:$AA$4,0)),0),IFERROR(N($E17)*INDEX(Options!$U$5:$AA$104,MATCH($D17,Options!$A$5:$A$104,0),MATCH(O$4,Options!$U$4:$AA$4,0)),0),IFERROR(N($G17)*INDEX(Options!$U$5:$AA$104,MATCH($F17,Options!$A$5:$A$104,0),MATCH(O$4,Options!$U$4:$AA$4,0)),0),IFERROR(N($I17)*INDEX(Options!$U$5:$AA$104,MATCH($H17,Options!$A$5:$A$104,0),MATCH(O$4,Options!$U$4:$AA$4,0)),0),IFERROR(N($K17)*INDEX(Options!$U$5:$AA$104,MATCH($J17,Options!$A$5:$A$104,0),MATCH(O$4,Options!$U$4:$AA$4,0)),0))</f>
        <v>0</v>
      </c>
      <c r="P17" s="101">
        <f>SUM(IFERROR(N($C17)*INDEX(Options!$U$5:$AA$104,MATCH($B17,Options!$A$5:$A$104,0),MATCH(P$4,Options!$U$4:$AA$4,0)),0),IFERROR(N($E17)*INDEX(Options!$U$5:$AA$104,MATCH($D17,Options!$A$5:$A$104,0),MATCH(P$4,Options!$U$4:$AA$4,0)),0),IFERROR(N($G17)*INDEX(Options!$U$5:$AA$104,MATCH($F17,Options!$A$5:$A$104,0),MATCH(P$4,Options!$U$4:$AA$4,0)),0),IFERROR(N($I17)*INDEX(Options!$U$5:$AA$104,MATCH($H17,Options!$A$5:$A$104,0),MATCH(P$4,Options!$U$4:$AA$4,0)),0),IFERROR(N($K17)*INDEX(Options!$U$5:$AA$104,MATCH($J17,Options!$A$5:$A$104,0),MATCH(P$4,Options!$U$4:$AA$4,0)),0))</f>
        <v>0</v>
      </c>
      <c r="Q17" s="99">
        <f>SUM(IFERROR(N($C17)*INDEX(Options!$U$5:$AA$104,MATCH($B17,Options!$A$5:$A$104,0),MATCH(Q$4,Options!$U$4:$AA$4,0)),0),IFERROR(N($E17)*INDEX(Options!$U$5:$AA$104,MATCH($D17,Options!$A$5:$A$104,0),MATCH(Q$4,Options!$U$4:$AA$4,0)),0),IFERROR(N($G17)*INDEX(Options!$U$5:$AA$104,MATCH($F17,Options!$A$5:$A$104,0),MATCH(Q$4,Options!$U$4:$AA$4,0)),0),IFERROR(N($I17)*INDEX(Options!$U$5:$AA$104,MATCH($H17,Options!$A$5:$A$104,0),MATCH(Q$4,Options!$U$4:$AA$4,0)),0),IFERROR(N($K17)*INDEX(Options!$U$5:$AA$104,MATCH($J17,Options!$A$5:$A$104,0),MATCH(Q$4,Options!$U$4:$AA$4,0)),0))</f>
        <v>0</v>
      </c>
      <c r="R17" s="99">
        <f>SUM(IFERROR(N($C17)*INDEX(Options!$U$5:$AA$104,MATCH($B17,Options!$A$5:$A$104,0),MATCH(R$4,Options!$U$4:$AA$4,0)),0),IFERROR(N($E17)*INDEX(Options!$U$5:$AA$104,MATCH($D17,Options!$A$5:$A$104,0),MATCH(R$4,Options!$U$4:$AA$4,0)),0),IFERROR(N($G17)*INDEX(Options!$U$5:$AA$104,MATCH($F17,Options!$A$5:$A$104,0),MATCH(R$4,Options!$U$4:$AA$4,0)),0),IFERROR(N($I17)*INDEX(Options!$U$5:$AA$104,MATCH($H17,Options!$A$5:$A$104,0),MATCH(R$4,Options!$U$4:$AA$4,0)),0),IFERROR(N($K17)*INDEX(Options!$U$5:$AA$104,MATCH($J17,Options!$A$5:$A$104,0),MATCH(R$4,Options!$U$4:$AA$4,0)),0))</f>
        <v>0</v>
      </c>
      <c r="S17" s="97">
        <f>SUM(IFERROR(N($C17)*INDEX(Options!$U$5:$AA$104,MATCH($B17,Options!$A$5:$A$104,0),MATCH(S$4,Options!$U$4:$AA$4,0)),0),IFERROR(N($E17)*INDEX(Options!$U$5:$AA$104,MATCH($D17,Options!$A$5:$A$104,0),MATCH(S$4,Options!$U$4:$AA$4,0)),0),IFERROR(N($G17)*INDEX(Options!$U$5:$AA$104,MATCH($F17,Options!$A$5:$A$104,0),MATCH(S$4,Options!$U$4:$AA$4,0)),0),IFERROR(N($I17)*INDEX(Options!$U$5:$AA$104,MATCH($H17,Options!$A$5:$A$104,0),MATCH(S$4,Options!$U$4:$AA$4,0)),0),IFERROR(N($K17)*INDEX(Options!$U$5:$AA$104,MATCH($J17,Options!$A$5:$A$104,0),MATCH(S$4,Options!$U$4:$AA$4,0)),0))</f>
        <v>0</v>
      </c>
    </row>
    <row r="18" spans="1:19" ht="17.55" customHeight="1">
      <c r="A18" s="87" t="s">
        <v>164</v>
      </c>
      <c r="B18" s="88"/>
      <c r="C18" s="88"/>
      <c r="D18" s="88"/>
      <c r="E18" s="88"/>
      <c r="F18" s="88"/>
      <c r="G18" s="88"/>
      <c r="H18" s="88"/>
      <c r="I18" s="88"/>
      <c r="J18" s="88"/>
      <c r="K18" s="88"/>
      <c r="L18" s="90">
        <f>SUM(IFERROR(N($C18)*N(INDEX(Options!$P$5:$P$104,MATCH($B18,Options!$A$5:$A$104,0))),0),IFERROR(N($E18)*N(INDEX(Options!$P$5:$P$104,MATCH($D18,Options!$A$5:$A$104,0))),0),IFERROR(N($G18)*N(INDEX(Options!$P$5:$P$104,MATCH($F18,Options!$A$5:$A$104,0))),0),IFERROR(N($I18)*N(INDEX(Options!$P$5:$P$104,MATCH($H18,Options!$A$5:$A$104,0))),0),IFERROR(N($K18)*N(INDEX(Options!$P$5:$P$104,MATCH($J18,Options!$A$5:$A$104,0))),0))</f>
        <v>0</v>
      </c>
      <c r="M18" s="90">
        <f>SUM(IFERROR(N($C18)*INDEX(Options!$U$5:$AA$104,MATCH($B18,Options!$A$5:$A$104,0),MATCH(M$4,Options!$U$4:$AA$4,0)),0),IFERROR(N($E18)*INDEX(Options!$U$5:$AA$104,MATCH($D18,Options!$A$5:$A$104,0),MATCH(M$4,Options!$U$4:$AA$4,0)),0),IFERROR(N($G18)*INDEX(Options!$U$5:$AA$104,MATCH($F18,Options!$A$5:$A$104,0),MATCH(M$4,Options!$U$4:$AA$4,0)),0),IFERROR(N($I18)*INDEX(Options!$U$5:$AA$104,MATCH($H18,Options!$A$5:$A$104,0),MATCH(M$4,Options!$U$4:$AA$4,0)),0),IFERROR(N($K18)*INDEX(Options!$U$5:$AA$104,MATCH($J18,Options!$A$5:$A$104,0),MATCH(M$4,Options!$U$4:$AA$4,0)),0))</f>
        <v>0</v>
      </c>
      <c r="N18" s="103">
        <f>SUM(IFERROR(N($C18)*INDEX(Options!$U$5:$AA$104,MATCH($B18,Options!$A$5:$A$104,0),MATCH(N$4,Options!$U$4:$AA$4,0)),0),IFERROR(N($E18)*INDEX(Options!$U$5:$AA$104,MATCH($D18,Options!$A$5:$A$104,0),MATCH(N$4,Options!$U$4:$AA$4,0)),0),IFERROR(N($G18)*INDEX(Options!$U$5:$AA$104,MATCH($F18,Options!$A$5:$A$104,0),MATCH(N$4,Options!$U$4:$AA$4,0)),0),IFERROR(N($I18)*INDEX(Options!$U$5:$AA$104,MATCH($H18,Options!$A$5:$A$104,0),MATCH(N$4,Options!$U$4:$AA$4,0)),0),IFERROR(N($K18)*INDEX(Options!$U$5:$AA$104,MATCH($J18,Options!$A$5:$A$104,0),MATCH(N$4,Options!$U$4:$AA$4,0)),0))</f>
        <v>0</v>
      </c>
      <c r="O18" s="105">
        <f>SUM(IFERROR(N($C18)*INDEX(Options!$U$5:$AA$104,MATCH($B18,Options!$A$5:$A$104,0),MATCH(O$4,Options!$U$4:$AA$4,0)),0),IFERROR(N($E18)*INDEX(Options!$U$5:$AA$104,MATCH($D18,Options!$A$5:$A$104,0),MATCH(O$4,Options!$U$4:$AA$4,0)),0),IFERROR(N($G18)*INDEX(Options!$U$5:$AA$104,MATCH($F18,Options!$A$5:$A$104,0),MATCH(O$4,Options!$U$4:$AA$4,0)),0),IFERROR(N($I18)*INDEX(Options!$U$5:$AA$104,MATCH($H18,Options!$A$5:$A$104,0),MATCH(O$4,Options!$U$4:$AA$4,0)),0),IFERROR(N($K18)*INDEX(Options!$U$5:$AA$104,MATCH($J18,Options!$A$5:$A$104,0),MATCH(O$4,Options!$U$4:$AA$4,0)),0))</f>
        <v>0</v>
      </c>
      <c r="P18" s="101">
        <f>SUM(IFERROR(N($C18)*INDEX(Options!$U$5:$AA$104,MATCH($B18,Options!$A$5:$A$104,0),MATCH(P$4,Options!$U$4:$AA$4,0)),0),IFERROR(N($E18)*INDEX(Options!$U$5:$AA$104,MATCH($D18,Options!$A$5:$A$104,0),MATCH(P$4,Options!$U$4:$AA$4,0)),0),IFERROR(N($G18)*INDEX(Options!$U$5:$AA$104,MATCH($F18,Options!$A$5:$A$104,0),MATCH(P$4,Options!$U$4:$AA$4,0)),0),IFERROR(N($I18)*INDEX(Options!$U$5:$AA$104,MATCH($H18,Options!$A$5:$A$104,0),MATCH(P$4,Options!$U$4:$AA$4,0)),0),IFERROR(N($K18)*INDEX(Options!$U$5:$AA$104,MATCH($J18,Options!$A$5:$A$104,0),MATCH(P$4,Options!$U$4:$AA$4,0)),0))</f>
        <v>0</v>
      </c>
      <c r="Q18" s="99">
        <f>SUM(IFERROR(N($C18)*INDEX(Options!$U$5:$AA$104,MATCH($B18,Options!$A$5:$A$104,0),MATCH(Q$4,Options!$U$4:$AA$4,0)),0),IFERROR(N($E18)*INDEX(Options!$U$5:$AA$104,MATCH($D18,Options!$A$5:$A$104,0),MATCH(Q$4,Options!$U$4:$AA$4,0)),0),IFERROR(N($G18)*INDEX(Options!$U$5:$AA$104,MATCH($F18,Options!$A$5:$A$104,0),MATCH(Q$4,Options!$U$4:$AA$4,0)),0),IFERROR(N($I18)*INDEX(Options!$U$5:$AA$104,MATCH($H18,Options!$A$5:$A$104,0),MATCH(Q$4,Options!$U$4:$AA$4,0)),0),IFERROR(N($K18)*INDEX(Options!$U$5:$AA$104,MATCH($J18,Options!$A$5:$A$104,0),MATCH(Q$4,Options!$U$4:$AA$4,0)),0))</f>
        <v>0</v>
      </c>
      <c r="R18" s="99">
        <f>SUM(IFERROR(N($C18)*INDEX(Options!$U$5:$AA$104,MATCH($B18,Options!$A$5:$A$104,0),MATCH(R$4,Options!$U$4:$AA$4,0)),0),IFERROR(N($E18)*INDEX(Options!$U$5:$AA$104,MATCH($D18,Options!$A$5:$A$104,0),MATCH(R$4,Options!$U$4:$AA$4,0)),0),IFERROR(N($G18)*INDEX(Options!$U$5:$AA$104,MATCH($F18,Options!$A$5:$A$104,0),MATCH(R$4,Options!$U$4:$AA$4,0)),0),IFERROR(N($I18)*INDEX(Options!$U$5:$AA$104,MATCH($H18,Options!$A$5:$A$104,0),MATCH(R$4,Options!$U$4:$AA$4,0)),0),IFERROR(N($K18)*INDEX(Options!$U$5:$AA$104,MATCH($J18,Options!$A$5:$A$104,0),MATCH(R$4,Options!$U$4:$AA$4,0)),0))</f>
        <v>0</v>
      </c>
      <c r="S18" s="97">
        <f>SUM(IFERROR(N($C18)*INDEX(Options!$U$5:$AA$104,MATCH($B18,Options!$A$5:$A$104,0),MATCH(S$4,Options!$U$4:$AA$4,0)),0),IFERROR(N($E18)*INDEX(Options!$U$5:$AA$104,MATCH($D18,Options!$A$5:$A$104,0),MATCH(S$4,Options!$U$4:$AA$4,0)),0),IFERROR(N($G18)*INDEX(Options!$U$5:$AA$104,MATCH($F18,Options!$A$5:$A$104,0),MATCH(S$4,Options!$U$4:$AA$4,0)),0),IFERROR(N($I18)*INDEX(Options!$U$5:$AA$104,MATCH($H18,Options!$A$5:$A$104,0),MATCH(S$4,Options!$U$4:$AA$4,0)),0),IFERROR(N($K18)*INDEX(Options!$U$5:$AA$104,MATCH($J18,Options!$A$5:$A$104,0),MATCH(S$4,Options!$U$4:$AA$4,0)),0))</f>
        <v>0</v>
      </c>
    </row>
    <row r="19" spans="1:19" ht="17.55" customHeight="1">
      <c r="A19" s="87" t="s">
        <v>219</v>
      </c>
      <c r="B19" s="88" t="s">
        <v>179</v>
      </c>
      <c r="C19" s="88">
        <v>12</v>
      </c>
      <c r="D19" s="88"/>
      <c r="E19" s="88"/>
      <c r="F19" s="88"/>
      <c r="G19" s="88"/>
      <c r="H19" s="88"/>
      <c r="I19" s="88"/>
      <c r="J19" s="88"/>
      <c r="K19" s="88"/>
      <c r="L19" s="90">
        <f>SUM(IFERROR(N($C19)*N(INDEX(Options!$P$5:$P$104,MATCH($B19,Options!$A$5:$A$104,0))),0),IFERROR(N($E19)*N(INDEX(Options!$P$5:$P$104,MATCH($D19,Options!$A$5:$A$104,0))),0),IFERROR(N($G19)*N(INDEX(Options!$P$5:$P$104,MATCH($F19,Options!$A$5:$A$104,0))),0),IFERROR(N($I19)*N(INDEX(Options!$P$5:$P$104,MATCH($H19,Options!$A$5:$A$104,0))),0),IFERROR(N($K19)*N(INDEX(Options!$P$5:$P$104,MATCH($J19,Options!$A$5:$A$104,0))),0))</f>
        <v>33000</v>
      </c>
      <c r="M19" s="90">
        <f>SUM(IFERROR(N($C19)*INDEX(Options!$U$5:$AA$104,MATCH($B19,Options!$A$5:$A$104,0),MATCH(M$4,Options!$U$4:$AA$4,0)),0),IFERROR(N($E19)*INDEX(Options!$U$5:$AA$104,MATCH($D19,Options!$A$5:$A$104,0),MATCH(M$4,Options!$U$4:$AA$4,0)),0),IFERROR(N($G19)*INDEX(Options!$U$5:$AA$104,MATCH($F19,Options!$A$5:$A$104,0),MATCH(M$4,Options!$U$4:$AA$4,0)),0),IFERROR(N($I19)*INDEX(Options!$U$5:$AA$104,MATCH($H19,Options!$A$5:$A$104,0),MATCH(M$4,Options!$U$4:$AA$4,0)),0),IFERROR(N($K19)*INDEX(Options!$U$5:$AA$104,MATCH($J19,Options!$A$5:$A$104,0),MATCH(M$4,Options!$U$4:$AA$4,0)),0))</f>
        <v>36</v>
      </c>
      <c r="N19" s="103">
        <f>SUM(IFERROR(N($C19)*INDEX(Options!$U$5:$AA$104,MATCH($B19,Options!$A$5:$A$104,0),MATCH(N$4,Options!$U$4:$AA$4,0)),0),IFERROR(N($E19)*INDEX(Options!$U$5:$AA$104,MATCH($D19,Options!$A$5:$A$104,0),MATCH(N$4,Options!$U$4:$AA$4,0)),0),IFERROR(N($G19)*INDEX(Options!$U$5:$AA$104,MATCH($F19,Options!$A$5:$A$104,0),MATCH(N$4,Options!$U$4:$AA$4,0)),0),IFERROR(N($I19)*INDEX(Options!$U$5:$AA$104,MATCH($H19,Options!$A$5:$A$104,0),MATCH(N$4,Options!$U$4:$AA$4,0)),0),IFERROR(N($K19)*INDEX(Options!$U$5:$AA$104,MATCH($J19,Options!$A$5:$A$104,0),MATCH(N$4,Options!$U$4:$AA$4,0)),0))</f>
        <v>24</v>
      </c>
      <c r="O19" s="105">
        <f>SUM(IFERROR(N($C19)*INDEX(Options!$U$5:$AA$104,MATCH($B19,Options!$A$5:$A$104,0),MATCH(O$4,Options!$U$4:$AA$4,0)),0),IFERROR(N($E19)*INDEX(Options!$U$5:$AA$104,MATCH($D19,Options!$A$5:$A$104,0),MATCH(O$4,Options!$U$4:$AA$4,0)),0),IFERROR(N($G19)*INDEX(Options!$U$5:$AA$104,MATCH($F19,Options!$A$5:$A$104,0),MATCH(O$4,Options!$U$4:$AA$4,0)),0),IFERROR(N($I19)*INDEX(Options!$U$5:$AA$104,MATCH($H19,Options!$A$5:$A$104,0),MATCH(O$4,Options!$U$4:$AA$4,0)),0),IFERROR(N($K19)*INDEX(Options!$U$5:$AA$104,MATCH($J19,Options!$A$5:$A$104,0),MATCH(O$4,Options!$U$4:$AA$4,0)),0))</f>
        <v>12</v>
      </c>
      <c r="P19" s="101">
        <f>SUM(IFERROR(N($C19)*INDEX(Options!$U$5:$AA$104,MATCH($B19,Options!$A$5:$A$104,0),MATCH(P$4,Options!$U$4:$AA$4,0)),0),IFERROR(N($E19)*INDEX(Options!$U$5:$AA$104,MATCH($D19,Options!$A$5:$A$104,0),MATCH(P$4,Options!$U$4:$AA$4,0)),0),IFERROR(N($G19)*INDEX(Options!$U$5:$AA$104,MATCH($F19,Options!$A$5:$A$104,0),MATCH(P$4,Options!$U$4:$AA$4,0)),0),IFERROR(N($I19)*INDEX(Options!$U$5:$AA$104,MATCH($H19,Options!$A$5:$A$104,0),MATCH(P$4,Options!$U$4:$AA$4,0)),0),IFERROR(N($K19)*INDEX(Options!$U$5:$AA$104,MATCH($J19,Options!$A$5:$A$104,0),MATCH(P$4,Options!$U$4:$AA$4,0)),0))</f>
        <v>0</v>
      </c>
      <c r="Q19" s="99">
        <f>SUM(IFERROR(N($C19)*INDEX(Options!$U$5:$AA$104,MATCH($B19,Options!$A$5:$A$104,0),MATCH(Q$4,Options!$U$4:$AA$4,0)),0),IFERROR(N($E19)*INDEX(Options!$U$5:$AA$104,MATCH($D19,Options!$A$5:$A$104,0),MATCH(Q$4,Options!$U$4:$AA$4,0)),0),IFERROR(N($G19)*INDEX(Options!$U$5:$AA$104,MATCH($F19,Options!$A$5:$A$104,0),MATCH(Q$4,Options!$U$4:$AA$4,0)),0),IFERROR(N($I19)*INDEX(Options!$U$5:$AA$104,MATCH($H19,Options!$A$5:$A$104,0),MATCH(Q$4,Options!$U$4:$AA$4,0)),0),IFERROR(N($K19)*INDEX(Options!$U$5:$AA$104,MATCH($J19,Options!$A$5:$A$104,0),MATCH(Q$4,Options!$U$4:$AA$4,0)),0))</f>
        <v>0</v>
      </c>
      <c r="R19" s="99">
        <f>SUM(IFERROR(N($C19)*INDEX(Options!$U$5:$AA$104,MATCH($B19,Options!$A$5:$A$104,0),MATCH(R$4,Options!$U$4:$AA$4,0)),0),IFERROR(N($E19)*INDEX(Options!$U$5:$AA$104,MATCH($D19,Options!$A$5:$A$104,0),MATCH(R$4,Options!$U$4:$AA$4,0)),0),IFERROR(N($G19)*INDEX(Options!$U$5:$AA$104,MATCH($F19,Options!$A$5:$A$104,0),MATCH(R$4,Options!$U$4:$AA$4,0)),0),IFERROR(N($I19)*INDEX(Options!$U$5:$AA$104,MATCH($H19,Options!$A$5:$A$104,0),MATCH(R$4,Options!$U$4:$AA$4,0)),0),IFERROR(N($K19)*INDEX(Options!$U$5:$AA$104,MATCH($J19,Options!$A$5:$A$104,0),MATCH(R$4,Options!$U$4:$AA$4,0)),0))</f>
        <v>0</v>
      </c>
      <c r="S19" s="97">
        <f>SUM(IFERROR(N($C19)*INDEX(Options!$U$5:$AA$104,MATCH($B19,Options!$A$5:$A$104,0),MATCH(S$4,Options!$U$4:$AA$4,0)),0),IFERROR(N($E19)*INDEX(Options!$U$5:$AA$104,MATCH($D19,Options!$A$5:$A$104,0),MATCH(S$4,Options!$U$4:$AA$4,0)),0),IFERROR(N($G19)*INDEX(Options!$U$5:$AA$104,MATCH($F19,Options!$A$5:$A$104,0),MATCH(S$4,Options!$U$4:$AA$4,0)),0),IFERROR(N($I19)*INDEX(Options!$U$5:$AA$104,MATCH($H19,Options!$A$5:$A$104,0),MATCH(S$4,Options!$U$4:$AA$4,0)),0),IFERROR(N($K19)*INDEX(Options!$U$5:$AA$104,MATCH($J19,Options!$A$5:$A$104,0),MATCH(S$4,Options!$U$4:$AA$4,0)),0))</f>
        <v>12</v>
      </c>
    </row>
    <row r="20" spans="1:19" ht="17.55" customHeight="1">
      <c r="A20" s="87" t="s">
        <v>220</v>
      </c>
      <c r="B20" s="88" t="s">
        <v>180</v>
      </c>
      <c r="C20" s="88">
        <v>4</v>
      </c>
      <c r="D20" s="88" t="s">
        <v>179</v>
      </c>
      <c r="E20" s="88">
        <v>1</v>
      </c>
      <c r="F20" s="88" t="s">
        <v>181</v>
      </c>
      <c r="G20" s="88">
        <v>7</v>
      </c>
      <c r="H20" s="88"/>
      <c r="I20" s="88"/>
      <c r="J20" s="88"/>
      <c r="K20" s="88"/>
      <c r="L20" s="90">
        <f>SUM(IFERROR(N($C20)*N(INDEX(Options!$P$5:$P$104,MATCH($B20,Options!$A$5:$A$104,0))),0),IFERROR(N($E20)*N(INDEX(Options!$P$5:$P$104,MATCH($D20,Options!$A$5:$A$104,0))),0),IFERROR(N($G20)*N(INDEX(Options!$P$5:$P$104,MATCH($F20,Options!$A$5:$A$104,0))),0),IFERROR(N($I20)*N(INDEX(Options!$P$5:$P$104,MATCH($H20,Options!$A$5:$A$104,0))),0),IFERROR(N($K20)*N(INDEX(Options!$P$5:$P$104,MATCH($J20,Options!$A$5:$A$104,0))),0))</f>
        <v>32750</v>
      </c>
      <c r="M20" s="90">
        <f>SUM(IFERROR(N($C20)*INDEX(Options!$U$5:$AA$104,MATCH($B20,Options!$A$5:$A$104,0),MATCH(M$4,Options!$U$4:$AA$4,0)),0),IFERROR(N($E20)*INDEX(Options!$U$5:$AA$104,MATCH($D20,Options!$A$5:$A$104,0),MATCH(M$4,Options!$U$4:$AA$4,0)),0),IFERROR(N($G20)*INDEX(Options!$U$5:$AA$104,MATCH($F20,Options!$A$5:$A$104,0),MATCH(M$4,Options!$U$4:$AA$4,0)),0),IFERROR(N($I20)*INDEX(Options!$U$5:$AA$104,MATCH($H20,Options!$A$5:$A$104,0),MATCH(M$4,Options!$U$4:$AA$4,0)),0),IFERROR(N($K20)*INDEX(Options!$U$5:$AA$104,MATCH($J20,Options!$A$5:$A$104,0),MATCH(M$4,Options!$U$4:$AA$4,0)),0))</f>
        <v>26</v>
      </c>
      <c r="N20" s="103">
        <f>SUM(IFERROR(N($C20)*INDEX(Options!$U$5:$AA$104,MATCH($B20,Options!$A$5:$A$104,0),MATCH(N$4,Options!$U$4:$AA$4,0)),0),IFERROR(N($E20)*INDEX(Options!$U$5:$AA$104,MATCH($D20,Options!$A$5:$A$104,0),MATCH(N$4,Options!$U$4:$AA$4,0)),0),IFERROR(N($G20)*INDEX(Options!$U$5:$AA$104,MATCH($F20,Options!$A$5:$A$104,0),MATCH(N$4,Options!$U$4:$AA$4,0)),0),IFERROR(N($I20)*INDEX(Options!$U$5:$AA$104,MATCH($H20,Options!$A$5:$A$104,0),MATCH(N$4,Options!$U$4:$AA$4,0)),0),IFERROR(N($K20)*INDEX(Options!$U$5:$AA$104,MATCH($J20,Options!$A$5:$A$104,0),MATCH(N$4,Options!$U$4:$AA$4,0)),0))</f>
        <v>36</v>
      </c>
      <c r="O20" s="105">
        <f>SUM(IFERROR(N($C20)*INDEX(Options!$U$5:$AA$104,MATCH($B20,Options!$A$5:$A$104,0),MATCH(O$4,Options!$U$4:$AA$4,0)),0),IFERROR(N($E20)*INDEX(Options!$U$5:$AA$104,MATCH($D20,Options!$A$5:$A$104,0),MATCH(O$4,Options!$U$4:$AA$4,0)),0),IFERROR(N($G20)*INDEX(Options!$U$5:$AA$104,MATCH($F20,Options!$A$5:$A$104,0),MATCH(O$4,Options!$U$4:$AA$4,0)),0),IFERROR(N($I20)*INDEX(Options!$U$5:$AA$104,MATCH($H20,Options!$A$5:$A$104,0),MATCH(O$4,Options!$U$4:$AA$4,0)),0),IFERROR(N($K20)*INDEX(Options!$U$5:$AA$104,MATCH($J20,Options!$A$5:$A$104,0),MATCH(O$4,Options!$U$4:$AA$4,0)),0))</f>
        <v>5</v>
      </c>
      <c r="P20" s="101">
        <f>SUM(IFERROR(N($C20)*INDEX(Options!$U$5:$AA$104,MATCH($B20,Options!$A$5:$A$104,0),MATCH(P$4,Options!$U$4:$AA$4,0)),0),IFERROR(N($E20)*INDEX(Options!$U$5:$AA$104,MATCH($D20,Options!$A$5:$A$104,0),MATCH(P$4,Options!$U$4:$AA$4,0)),0),IFERROR(N($G20)*INDEX(Options!$U$5:$AA$104,MATCH($F20,Options!$A$5:$A$104,0),MATCH(P$4,Options!$U$4:$AA$4,0)),0),IFERROR(N($I20)*INDEX(Options!$U$5:$AA$104,MATCH($H20,Options!$A$5:$A$104,0),MATCH(P$4,Options!$U$4:$AA$4,0)),0),IFERROR(N($K20)*INDEX(Options!$U$5:$AA$104,MATCH($J20,Options!$A$5:$A$104,0),MATCH(P$4,Options!$U$4:$AA$4,0)),0))</f>
        <v>0</v>
      </c>
      <c r="Q20" s="99">
        <f>SUM(IFERROR(N($C20)*INDEX(Options!$U$5:$AA$104,MATCH($B20,Options!$A$5:$A$104,0),MATCH(Q$4,Options!$U$4:$AA$4,0)),0),IFERROR(N($E20)*INDEX(Options!$U$5:$AA$104,MATCH($D20,Options!$A$5:$A$104,0),MATCH(Q$4,Options!$U$4:$AA$4,0)),0),IFERROR(N($G20)*INDEX(Options!$U$5:$AA$104,MATCH($F20,Options!$A$5:$A$104,0),MATCH(Q$4,Options!$U$4:$AA$4,0)),0),IFERROR(N($I20)*INDEX(Options!$U$5:$AA$104,MATCH($H20,Options!$A$5:$A$104,0),MATCH(Q$4,Options!$U$4:$AA$4,0)),0),IFERROR(N($K20)*INDEX(Options!$U$5:$AA$104,MATCH($J20,Options!$A$5:$A$104,0),MATCH(Q$4,Options!$U$4:$AA$4,0)),0))</f>
        <v>0</v>
      </c>
      <c r="R20" s="99">
        <f>SUM(IFERROR(N($C20)*INDEX(Options!$U$5:$AA$104,MATCH($B20,Options!$A$5:$A$104,0),MATCH(R$4,Options!$U$4:$AA$4,0)),0),IFERROR(N($E20)*INDEX(Options!$U$5:$AA$104,MATCH($D20,Options!$A$5:$A$104,0),MATCH(R$4,Options!$U$4:$AA$4,0)),0),IFERROR(N($G20)*INDEX(Options!$U$5:$AA$104,MATCH($F20,Options!$A$5:$A$104,0),MATCH(R$4,Options!$U$4:$AA$4,0)),0),IFERROR(N($I20)*INDEX(Options!$U$5:$AA$104,MATCH($H20,Options!$A$5:$A$104,0),MATCH(R$4,Options!$U$4:$AA$4,0)),0),IFERROR(N($K20)*INDEX(Options!$U$5:$AA$104,MATCH($J20,Options!$A$5:$A$104,0),MATCH(R$4,Options!$U$4:$AA$4,0)),0))</f>
        <v>0</v>
      </c>
      <c r="S20" s="97">
        <f>SUM(IFERROR(N($C20)*INDEX(Options!$U$5:$AA$104,MATCH($B20,Options!$A$5:$A$104,0),MATCH(S$4,Options!$U$4:$AA$4,0)),0),IFERROR(N($E20)*INDEX(Options!$U$5:$AA$104,MATCH($D20,Options!$A$5:$A$104,0),MATCH(S$4,Options!$U$4:$AA$4,0)),0),IFERROR(N($G20)*INDEX(Options!$U$5:$AA$104,MATCH($F20,Options!$A$5:$A$104,0),MATCH(S$4,Options!$U$4:$AA$4,0)),0),IFERROR(N($I20)*INDEX(Options!$U$5:$AA$104,MATCH($H20,Options!$A$5:$A$104,0),MATCH(S$4,Options!$U$4:$AA$4,0)),0),IFERROR(N($K20)*INDEX(Options!$U$5:$AA$104,MATCH($J20,Options!$A$5:$A$104,0),MATCH(S$4,Options!$U$4:$AA$4,0)),0))</f>
        <v>13</v>
      </c>
    </row>
    <row r="21" spans="1:19" ht="17.55" customHeight="1">
      <c r="A21" s="87" t="s">
        <v>221</v>
      </c>
      <c r="B21" s="88" t="s">
        <v>185</v>
      </c>
      <c r="C21" s="88">
        <v>5</v>
      </c>
      <c r="D21" s="88"/>
      <c r="E21" s="88"/>
      <c r="F21" s="88" t="s">
        <v>181</v>
      </c>
      <c r="G21" s="88">
        <v>7</v>
      </c>
      <c r="H21" s="88"/>
      <c r="I21" s="88"/>
      <c r="J21" s="88"/>
      <c r="K21" s="88"/>
      <c r="L21" s="90">
        <f>SUM(IFERROR(N($C21)*N(INDEX(Options!$P$5:$P$104,MATCH($B21,Options!$A$5:$A$104,0))),0),IFERROR(N($E21)*N(INDEX(Options!$P$5:$P$104,MATCH($D21,Options!$A$5:$A$104,0))),0),IFERROR(N($G21)*N(INDEX(Options!$P$5:$P$104,MATCH($F21,Options!$A$5:$A$104,0))),0),IFERROR(N($I21)*N(INDEX(Options!$P$5:$P$104,MATCH($H21,Options!$A$5:$A$104,0))),0),IFERROR(N($K21)*N(INDEX(Options!$P$5:$P$104,MATCH($J21,Options!$A$5:$A$104,0))),0))</f>
        <v>32500</v>
      </c>
      <c r="M21" s="90">
        <f>SUM(IFERROR(N($C21)*INDEX(Options!$U$5:$AA$104,MATCH($B21,Options!$A$5:$A$104,0),MATCH(M$4,Options!$U$4:$AA$4,0)),0),IFERROR(N($E21)*INDEX(Options!$U$5:$AA$104,MATCH($D21,Options!$A$5:$A$104,0),MATCH(M$4,Options!$U$4:$AA$4,0)),0),IFERROR(N($G21)*INDEX(Options!$U$5:$AA$104,MATCH($F21,Options!$A$5:$A$104,0),MATCH(M$4,Options!$U$4:$AA$4,0)),0),IFERROR(N($I21)*INDEX(Options!$U$5:$AA$104,MATCH($H21,Options!$A$5:$A$104,0),MATCH(M$4,Options!$U$4:$AA$4,0)),0),IFERROR(N($K21)*INDEX(Options!$U$5:$AA$104,MATCH($J21,Options!$A$5:$A$104,0),MATCH(M$4,Options!$U$4:$AA$4,0)),0))</f>
        <v>27</v>
      </c>
      <c r="N21" s="103">
        <f>SUM(IFERROR(N($C21)*INDEX(Options!$U$5:$AA$104,MATCH($B21,Options!$A$5:$A$104,0),MATCH(N$4,Options!$U$4:$AA$4,0)),0),IFERROR(N($E21)*INDEX(Options!$U$5:$AA$104,MATCH($D21,Options!$A$5:$A$104,0),MATCH(N$4,Options!$U$4:$AA$4,0)),0),IFERROR(N($G21)*INDEX(Options!$U$5:$AA$104,MATCH($F21,Options!$A$5:$A$104,0),MATCH(N$4,Options!$U$4:$AA$4,0)),0),IFERROR(N($I21)*INDEX(Options!$U$5:$AA$104,MATCH($H21,Options!$A$5:$A$104,0),MATCH(N$4,Options!$U$4:$AA$4,0)),0),IFERROR(N($K21)*INDEX(Options!$U$5:$AA$104,MATCH($J21,Options!$A$5:$A$104,0),MATCH(N$4,Options!$U$4:$AA$4,0)),0))</f>
        <v>39</v>
      </c>
      <c r="O21" s="105">
        <f>SUM(IFERROR(N($C21)*INDEX(Options!$U$5:$AA$104,MATCH($B21,Options!$A$5:$A$104,0),MATCH(O$4,Options!$U$4:$AA$4,0)),0),IFERROR(N($E21)*INDEX(Options!$U$5:$AA$104,MATCH($D21,Options!$A$5:$A$104,0),MATCH(O$4,Options!$U$4:$AA$4,0)),0),IFERROR(N($G21)*INDEX(Options!$U$5:$AA$104,MATCH($F21,Options!$A$5:$A$104,0),MATCH(O$4,Options!$U$4:$AA$4,0)),0),IFERROR(N($I21)*INDEX(Options!$U$5:$AA$104,MATCH($H21,Options!$A$5:$A$104,0),MATCH(O$4,Options!$U$4:$AA$4,0)),0),IFERROR(N($K21)*INDEX(Options!$U$5:$AA$104,MATCH($J21,Options!$A$5:$A$104,0),MATCH(O$4,Options!$U$4:$AA$4,0)),0))</f>
        <v>10</v>
      </c>
      <c r="P21" s="101">
        <f>SUM(IFERROR(N($C21)*INDEX(Options!$U$5:$AA$104,MATCH($B21,Options!$A$5:$A$104,0),MATCH(P$4,Options!$U$4:$AA$4,0)),0),IFERROR(N($E21)*INDEX(Options!$U$5:$AA$104,MATCH($D21,Options!$A$5:$A$104,0),MATCH(P$4,Options!$U$4:$AA$4,0)),0),IFERROR(N($G21)*INDEX(Options!$U$5:$AA$104,MATCH($F21,Options!$A$5:$A$104,0),MATCH(P$4,Options!$U$4:$AA$4,0)),0),IFERROR(N($I21)*INDEX(Options!$U$5:$AA$104,MATCH($H21,Options!$A$5:$A$104,0),MATCH(P$4,Options!$U$4:$AA$4,0)),0),IFERROR(N($K21)*INDEX(Options!$U$5:$AA$104,MATCH($J21,Options!$A$5:$A$104,0),MATCH(P$4,Options!$U$4:$AA$4,0)),0))</f>
        <v>0</v>
      </c>
      <c r="Q21" s="99">
        <f>SUM(IFERROR(N($C21)*INDEX(Options!$U$5:$AA$104,MATCH($B21,Options!$A$5:$A$104,0),MATCH(Q$4,Options!$U$4:$AA$4,0)),0),IFERROR(N($E21)*INDEX(Options!$U$5:$AA$104,MATCH($D21,Options!$A$5:$A$104,0),MATCH(Q$4,Options!$U$4:$AA$4,0)),0),IFERROR(N($G21)*INDEX(Options!$U$5:$AA$104,MATCH($F21,Options!$A$5:$A$104,0),MATCH(Q$4,Options!$U$4:$AA$4,0)),0),IFERROR(N($I21)*INDEX(Options!$U$5:$AA$104,MATCH($H21,Options!$A$5:$A$104,0),MATCH(Q$4,Options!$U$4:$AA$4,0)),0),IFERROR(N($K21)*INDEX(Options!$U$5:$AA$104,MATCH($J21,Options!$A$5:$A$104,0),MATCH(Q$4,Options!$U$4:$AA$4,0)),0))</f>
        <v>0</v>
      </c>
      <c r="R21" s="99">
        <f>SUM(IFERROR(N($C21)*INDEX(Options!$U$5:$AA$104,MATCH($B21,Options!$A$5:$A$104,0),MATCH(R$4,Options!$U$4:$AA$4,0)),0),IFERROR(N($E21)*INDEX(Options!$U$5:$AA$104,MATCH($D21,Options!$A$5:$A$104,0),MATCH(R$4,Options!$U$4:$AA$4,0)),0),IFERROR(N($G21)*INDEX(Options!$U$5:$AA$104,MATCH($F21,Options!$A$5:$A$104,0),MATCH(R$4,Options!$U$4:$AA$4,0)),0),IFERROR(N($I21)*INDEX(Options!$U$5:$AA$104,MATCH($H21,Options!$A$5:$A$104,0),MATCH(R$4,Options!$U$4:$AA$4,0)),0),IFERROR(N($K21)*INDEX(Options!$U$5:$AA$104,MATCH($J21,Options!$A$5:$A$104,0),MATCH(R$4,Options!$U$4:$AA$4,0)),0))</f>
        <v>0</v>
      </c>
      <c r="S21" s="97">
        <f>SUM(IFERROR(N($C21)*INDEX(Options!$U$5:$AA$104,MATCH($B21,Options!$A$5:$A$104,0),MATCH(S$4,Options!$U$4:$AA$4,0)),0),IFERROR(N($E21)*INDEX(Options!$U$5:$AA$104,MATCH($D21,Options!$A$5:$A$104,0),MATCH(S$4,Options!$U$4:$AA$4,0)),0),IFERROR(N($G21)*INDEX(Options!$U$5:$AA$104,MATCH($F21,Options!$A$5:$A$104,0),MATCH(S$4,Options!$U$4:$AA$4,0)),0),IFERROR(N($I21)*INDEX(Options!$U$5:$AA$104,MATCH($H21,Options!$A$5:$A$104,0),MATCH(S$4,Options!$U$4:$AA$4,0)),0),IFERROR(N($K21)*INDEX(Options!$U$5:$AA$104,MATCH($J21,Options!$A$5:$A$104,0),MATCH(S$4,Options!$U$4:$AA$4,0)),0))</f>
        <v>10</v>
      </c>
    </row>
    <row r="22" spans="1:19" ht="17.55" customHeight="1">
      <c r="A22" s="87" t="s">
        <v>222</v>
      </c>
      <c r="B22" s="88" t="s">
        <v>196</v>
      </c>
      <c r="C22" s="88">
        <v>5</v>
      </c>
      <c r="D22" s="88"/>
      <c r="E22" s="88"/>
      <c r="F22" s="88" t="s">
        <v>181</v>
      </c>
      <c r="G22" s="88">
        <v>7</v>
      </c>
      <c r="H22" s="88"/>
      <c r="I22" s="88"/>
      <c r="J22" s="88"/>
      <c r="K22" s="88"/>
      <c r="L22" s="90">
        <f>SUM(IFERROR(N($C22)*N(INDEX(Options!$P$5:$P$104,MATCH($B22,Options!$A$5:$A$104,0))),0),IFERROR(N($E22)*N(INDEX(Options!$P$5:$P$104,MATCH($D22,Options!$A$5:$A$104,0))),0),IFERROR(N($G22)*N(INDEX(Options!$P$5:$P$104,MATCH($F22,Options!$A$5:$A$104,0))),0),IFERROR(N($I22)*N(INDEX(Options!$P$5:$P$104,MATCH($H22,Options!$A$5:$A$104,0))),0),IFERROR(N($K22)*N(INDEX(Options!$P$5:$P$104,MATCH($J22,Options!$A$5:$A$104,0))),0))</f>
        <v>32500</v>
      </c>
      <c r="M22" s="90">
        <f>SUM(IFERROR(N($C22)*INDEX(Options!$U$5:$AA$104,MATCH($B22,Options!$A$5:$A$104,0),MATCH(M$4,Options!$U$4:$AA$4,0)),0),IFERROR(N($E22)*INDEX(Options!$U$5:$AA$104,MATCH($D22,Options!$A$5:$A$104,0),MATCH(M$4,Options!$U$4:$AA$4,0)),0),IFERROR(N($G22)*INDEX(Options!$U$5:$AA$104,MATCH($F22,Options!$A$5:$A$104,0),MATCH(M$4,Options!$U$4:$AA$4,0)),0),IFERROR(N($I22)*INDEX(Options!$U$5:$AA$104,MATCH($H22,Options!$A$5:$A$104,0),MATCH(M$4,Options!$U$4:$AA$4,0)),0),IFERROR(N($K22)*INDEX(Options!$U$5:$AA$104,MATCH($J22,Options!$A$5:$A$104,0),MATCH(M$4,Options!$U$4:$AA$4,0)),0))</f>
        <v>22</v>
      </c>
      <c r="N22" s="103">
        <f>SUM(IFERROR(N($C22)*INDEX(Options!$U$5:$AA$104,MATCH($B22,Options!$A$5:$A$104,0),MATCH(N$4,Options!$U$4:$AA$4,0)),0),IFERROR(N($E22)*INDEX(Options!$U$5:$AA$104,MATCH($D22,Options!$A$5:$A$104,0),MATCH(N$4,Options!$U$4:$AA$4,0)),0),IFERROR(N($G22)*INDEX(Options!$U$5:$AA$104,MATCH($F22,Options!$A$5:$A$104,0),MATCH(N$4,Options!$U$4:$AA$4,0)),0),IFERROR(N($I22)*INDEX(Options!$U$5:$AA$104,MATCH($H22,Options!$A$5:$A$104,0),MATCH(N$4,Options!$U$4:$AA$4,0)),0),IFERROR(N($K22)*INDEX(Options!$U$5:$AA$104,MATCH($J22,Options!$A$5:$A$104,0),MATCH(N$4,Options!$U$4:$AA$4,0)),0))</f>
        <v>44</v>
      </c>
      <c r="O22" s="105">
        <f>SUM(IFERROR(N($C22)*INDEX(Options!$U$5:$AA$104,MATCH($B22,Options!$A$5:$A$104,0),MATCH(O$4,Options!$U$4:$AA$4,0)),0),IFERROR(N($E22)*INDEX(Options!$U$5:$AA$104,MATCH($D22,Options!$A$5:$A$104,0),MATCH(O$4,Options!$U$4:$AA$4,0)),0),IFERROR(N($G22)*INDEX(Options!$U$5:$AA$104,MATCH($F22,Options!$A$5:$A$104,0),MATCH(O$4,Options!$U$4:$AA$4,0)),0),IFERROR(N($I22)*INDEX(Options!$U$5:$AA$104,MATCH($H22,Options!$A$5:$A$104,0),MATCH(O$4,Options!$U$4:$AA$4,0)),0),IFERROR(N($K22)*INDEX(Options!$U$5:$AA$104,MATCH($J22,Options!$A$5:$A$104,0),MATCH(O$4,Options!$U$4:$AA$4,0)),0))</f>
        <v>20</v>
      </c>
      <c r="P22" s="101">
        <f>SUM(IFERROR(N($C22)*INDEX(Options!$U$5:$AA$104,MATCH($B22,Options!$A$5:$A$104,0),MATCH(P$4,Options!$U$4:$AA$4,0)),0),IFERROR(N($E22)*INDEX(Options!$U$5:$AA$104,MATCH($D22,Options!$A$5:$A$104,0),MATCH(P$4,Options!$U$4:$AA$4,0)),0),IFERROR(N($G22)*INDEX(Options!$U$5:$AA$104,MATCH($F22,Options!$A$5:$A$104,0),MATCH(P$4,Options!$U$4:$AA$4,0)),0),IFERROR(N($I22)*INDEX(Options!$U$5:$AA$104,MATCH($H22,Options!$A$5:$A$104,0),MATCH(P$4,Options!$U$4:$AA$4,0)),0),IFERROR(N($K22)*INDEX(Options!$U$5:$AA$104,MATCH($J22,Options!$A$5:$A$104,0),MATCH(P$4,Options!$U$4:$AA$4,0)),0))</f>
        <v>0</v>
      </c>
      <c r="Q22" s="99">
        <f>SUM(IFERROR(N($C22)*INDEX(Options!$U$5:$AA$104,MATCH($B22,Options!$A$5:$A$104,0),MATCH(Q$4,Options!$U$4:$AA$4,0)),0),IFERROR(N($E22)*INDEX(Options!$U$5:$AA$104,MATCH($D22,Options!$A$5:$A$104,0),MATCH(Q$4,Options!$U$4:$AA$4,0)),0),IFERROR(N($G22)*INDEX(Options!$U$5:$AA$104,MATCH($F22,Options!$A$5:$A$104,0),MATCH(Q$4,Options!$U$4:$AA$4,0)),0),IFERROR(N($I22)*INDEX(Options!$U$5:$AA$104,MATCH($H22,Options!$A$5:$A$104,0),MATCH(Q$4,Options!$U$4:$AA$4,0)),0),IFERROR(N($K22)*INDEX(Options!$U$5:$AA$104,MATCH($J22,Options!$A$5:$A$104,0),MATCH(Q$4,Options!$U$4:$AA$4,0)),0))</f>
        <v>0</v>
      </c>
      <c r="R22" s="99">
        <f>SUM(IFERROR(N($C22)*INDEX(Options!$U$5:$AA$104,MATCH($B22,Options!$A$5:$A$104,0),MATCH(R$4,Options!$U$4:$AA$4,0)),0),IFERROR(N($E22)*INDEX(Options!$U$5:$AA$104,MATCH($D22,Options!$A$5:$A$104,0),MATCH(R$4,Options!$U$4:$AA$4,0)),0),IFERROR(N($G22)*INDEX(Options!$U$5:$AA$104,MATCH($F22,Options!$A$5:$A$104,0),MATCH(R$4,Options!$U$4:$AA$4,0)),0),IFERROR(N($I22)*INDEX(Options!$U$5:$AA$104,MATCH($H22,Options!$A$5:$A$104,0),MATCH(R$4,Options!$U$4:$AA$4,0)),0),IFERROR(N($K22)*INDEX(Options!$U$5:$AA$104,MATCH($J22,Options!$A$5:$A$104,0),MATCH(R$4,Options!$U$4:$AA$4,0)),0))</f>
        <v>0</v>
      </c>
      <c r="S22" s="97">
        <f>SUM(IFERROR(N($C22)*INDEX(Options!$U$5:$AA$104,MATCH($B22,Options!$A$5:$A$104,0),MATCH(S$4,Options!$U$4:$AA$4,0)),0),IFERROR(N($E22)*INDEX(Options!$U$5:$AA$104,MATCH($D22,Options!$A$5:$A$104,0),MATCH(S$4,Options!$U$4:$AA$4,0)),0),IFERROR(N($G22)*INDEX(Options!$U$5:$AA$104,MATCH($F22,Options!$A$5:$A$104,0),MATCH(S$4,Options!$U$4:$AA$4,0)),0),IFERROR(N($I22)*INDEX(Options!$U$5:$AA$104,MATCH($H22,Options!$A$5:$A$104,0),MATCH(S$4,Options!$U$4:$AA$4,0)),0),IFERROR(N($K22)*INDEX(Options!$U$5:$AA$104,MATCH($J22,Options!$A$5:$A$104,0),MATCH(S$4,Options!$U$4:$AA$4,0)),0))</f>
        <v>0</v>
      </c>
    </row>
    <row r="23" spans="1:19" ht="17.55" customHeight="1">
      <c r="A23" s="87" t="s">
        <v>165</v>
      </c>
      <c r="B23" s="88"/>
      <c r="C23" s="88"/>
      <c r="D23" s="88"/>
      <c r="E23" s="88"/>
      <c r="F23" s="88"/>
      <c r="G23" s="88"/>
      <c r="H23" s="88"/>
      <c r="I23" s="88"/>
      <c r="J23" s="88"/>
      <c r="K23" s="88"/>
      <c r="L23" s="90">
        <f>SUM(IFERROR(N($C23)*N(INDEX(Options!$P$5:$P$104,MATCH($B23,Options!$A$5:$A$104,0))),0),IFERROR(N($E23)*N(INDEX(Options!$P$5:$P$104,MATCH($D23,Options!$A$5:$A$104,0))),0),IFERROR(N($G23)*N(INDEX(Options!$P$5:$P$104,MATCH($F23,Options!$A$5:$A$104,0))),0),IFERROR(N($I23)*N(INDEX(Options!$P$5:$P$104,MATCH($H23,Options!$A$5:$A$104,0))),0),IFERROR(N($K23)*N(INDEX(Options!$P$5:$P$104,MATCH($J23,Options!$A$5:$A$104,0))),0))</f>
        <v>0</v>
      </c>
      <c r="M23" s="90">
        <f>SUM(IFERROR(N($C23)*INDEX(Options!$U$5:$AA$104,MATCH($B23,Options!$A$5:$A$104,0),MATCH(M$4,Options!$U$4:$AA$4,0)),0),IFERROR(N($E23)*INDEX(Options!$U$5:$AA$104,MATCH($D23,Options!$A$5:$A$104,0),MATCH(M$4,Options!$U$4:$AA$4,0)),0),IFERROR(N($G23)*INDEX(Options!$U$5:$AA$104,MATCH($F23,Options!$A$5:$A$104,0),MATCH(M$4,Options!$U$4:$AA$4,0)),0),IFERROR(N($I23)*INDEX(Options!$U$5:$AA$104,MATCH($H23,Options!$A$5:$A$104,0),MATCH(M$4,Options!$U$4:$AA$4,0)),0),IFERROR(N($K23)*INDEX(Options!$U$5:$AA$104,MATCH($J23,Options!$A$5:$A$104,0),MATCH(M$4,Options!$U$4:$AA$4,0)),0))</f>
        <v>0</v>
      </c>
      <c r="N23" s="103">
        <f>SUM(IFERROR(N($C23)*INDEX(Options!$U$5:$AA$104,MATCH($B23,Options!$A$5:$A$104,0),MATCH(N$4,Options!$U$4:$AA$4,0)),0),IFERROR(N($E23)*INDEX(Options!$U$5:$AA$104,MATCH($D23,Options!$A$5:$A$104,0),MATCH(N$4,Options!$U$4:$AA$4,0)),0),IFERROR(N($G23)*INDEX(Options!$U$5:$AA$104,MATCH($F23,Options!$A$5:$A$104,0),MATCH(N$4,Options!$U$4:$AA$4,0)),0),IFERROR(N($I23)*INDEX(Options!$U$5:$AA$104,MATCH($H23,Options!$A$5:$A$104,0),MATCH(N$4,Options!$U$4:$AA$4,0)),0),IFERROR(N($K23)*INDEX(Options!$U$5:$AA$104,MATCH($J23,Options!$A$5:$A$104,0),MATCH(N$4,Options!$U$4:$AA$4,0)),0))</f>
        <v>0</v>
      </c>
      <c r="O23" s="105">
        <f>SUM(IFERROR(N($C23)*INDEX(Options!$U$5:$AA$104,MATCH($B23,Options!$A$5:$A$104,0),MATCH(O$4,Options!$U$4:$AA$4,0)),0),IFERROR(N($E23)*INDEX(Options!$U$5:$AA$104,MATCH($D23,Options!$A$5:$A$104,0),MATCH(O$4,Options!$U$4:$AA$4,0)),0),IFERROR(N($G23)*INDEX(Options!$U$5:$AA$104,MATCH($F23,Options!$A$5:$A$104,0),MATCH(O$4,Options!$U$4:$AA$4,0)),0),IFERROR(N($I23)*INDEX(Options!$U$5:$AA$104,MATCH($H23,Options!$A$5:$A$104,0),MATCH(O$4,Options!$U$4:$AA$4,0)),0),IFERROR(N($K23)*INDEX(Options!$U$5:$AA$104,MATCH($J23,Options!$A$5:$A$104,0),MATCH(O$4,Options!$U$4:$AA$4,0)),0))</f>
        <v>0</v>
      </c>
      <c r="P23" s="101">
        <f>SUM(IFERROR(N($C23)*INDEX(Options!$U$5:$AA$104,MATCH($B23,Options!$A$5:$A$104,0),MATCH(P$4,Options!$U$4:$AA$4,0)),0),IFERROR(N($E23)*INDEX(Options!$U$5:$AA$104,MATCH($D23,Options!$A$5:$A$104,0),MATCH(P$4,Options!$U$4:$AA$4,0)),0),IFERROR(N($G23)*INDEX(Options!$U$5:$AA$104,MATCH($F23,Options!$A$5:$A$104,0),MATCH(P$4,Options!$U$4:$AA$4,0)),0),IFERROR(N($I23)*INDEX(Options!$U$5:$AA$104,MATCH($H23,Options!$A$5:$A$104,0),MATCH(P$4,Options!$U$4:$AA$4,0)),0),IFERROR(N($K23)*INDEX(Options!$U$5:$AA$104,MATCH($J23,Options!$A$5:$A$104,0),MATCH(P$4,Options!$U$4:$AA$4,0)),0))</f>
        <v>0</v>
      </c>
      <c r="Q23" s="99">
        <f>SUM(IFERROR(N($C23)*INDEX(Options!$U$5:$AA$104,MATCH($B23,Options!$A$5:$A$104,0),MATCH(Q$4,Options!$U$4:$AA$4,0)),0),IFERROR(N($E23)*INDEX(Options!$U$5:$AA$104,MATCH($D23,Options!$A$5:$A$104,0),MATCH(Q$4,Options!$U$4:$AA$4,0)),0),IFERROR(N($G23)*INDEX(Options!$U$5:$AA$104,MATCH($F23,Options!$A$5:$A$104,0),MATCH(Q$4,Options!$U$4:$AA$4,0)),0),IFERROR(N($I23)*INDEX(Options!$U$5:$AA$104,MATCH($H23,Options!$A$5:$A$104,0),MATCH(Q$4,Options!$U$4:$AA$4,0)),0),IFERROR(N($K23)*INDEX(Options!$U$5:$AA$104,MATCH($J23,Options!$A$5:$A$104,0),MATCH(Q$4,Options!$U$4:$AA$4,0)),0))</f>
        <v>0</v>
      </c>
      <c r="R23" s="99">
        <f>SUM(IFERROR(N($C23)*INDEX(Options!$U$5:$AA$104,MATCH($B23,Options!$A$5:$A$104,0),MATCH(R$4,Options!$U$4:$AA$4,0)),0),IFERROR(N($E23)*INDEX(Options!$U$5:$AA$104,MATCH($D23,Options!$A$5:$A$104,0),MATCH(R$4,Options!$U$4:$AA$4,0)),0),IFERROR(N($G23)*INDEX(Options!$U$5:$AA$104,MATCH($F23,Options!$A$5:$A$104,0),MATCH(R$4,Options!$U$4:$AA$4,0)),0),IFERROR(N($I23)*INDEX(Options!$U$5:$AA$104,MATCH($H23,Options!$A$5:$A$104,0),MATCH(R$4,Options!$U$4:$AA$4,0)),0),IFERROR(N($K23)*INDEX(Options!$U$5:$AA$104,MATCH($J23,Options!$A$5:$A$104,0),MATCH(R$4,Options!$U$4:$AA$4,0)),0))</f>
        <v>0</v>
      </c>
      <c r="S23" s="97">
        <f>SUM(IFERROR(N($C23)*INDEX(Options!$U$5:$AA$104,MATCH($B23,Options!$A$5:$A$104,0),MATCH(S$4,Options!$U$4:$AA$4,0)),0),IFERROR(N($E23)*INDEX(Options!$U$5:$AA$104,MATCH($D23,Options!$A$5:$A$104,0),MATCH(S$4,Options!$U$4:$AA$4,0)),0),IFERROR(N($G23)*INDEX(Options!$U$5:$AA$104,MATCH($F23,Options!$A$5:$A$104,0),MATCH(S$4,Options!$U$4:$AA$4,0)),0),IFERROR(N($I23)*INDEX(Options!$U$5:$AA$104,MATCH($H23,Options!$A$5:$A$104,0),MATCH(S$4,Options!$U$4:$AA$4,0)),0),IFERROR(N($K23)*INDEX(Options!$U$5:$AA$104,MATCH($J23,Options!$A$5:$A$104,0),MATCH(S$4,Options!$U$4:$AA$4,0)),0))</f>
        <v>0</v>
      </c>
    </row>
    <row r="24" spans="1:19" ht="17.55" customHeight="1">
      <c r="A24" s="87" t="s">
        <v>166</v>
      </c>
      <c r="B24" s="88"/>
      <c r="C24" s="88"/>
      <c r="D24" s="88"/>
      <c r="E24" s="88"/>
      <c r="F24" s="88"/>
      <c r="G24" s="88"/>
      <c r="H24" s="88"/>
      <c r="I24" s="88"/>
      <c r="J24" s="88"/>
      <c r="K24" s="88"/>
      <c r="L24" s="90">
        <f>SUM(IFERROR(N($C24)*N(INDEX(Options!$P$5:$P$104,MATCH($B24,Options!$A$5:$A$104,0))),0),IFERROR(N($E24)*N(INDEX(Options!$P$5:$P$104,MATCH($D24,Options!$A$5:$A$104,0))),0),IFERROR(N($G24)*N(INDEX(Options!$P$5:$P$104,MATCH($F24,Options!$A$5:$A$104,0))),0),IFERROR(N($I24)*N(INDEX(Options!$P$5:$P$104,MATCH($H24,Options!$A$5:$A$104,0))),0),IFERROR(N($K24)*N(INDEX(Options!$P$5:$P$104,MATCH($J24,Options!$A$5:$A$104,0))),0))</f>
        <v>0</v>
      </c>
      <c r="M24" s="90">
        <f>SUM(IFERROR(N($C24)*INDEX(Options!$U$5:$AA$104,MATCH($B24,Options!$A$5:$A$104,0),MATCH(M$4,Options!$U$4:$AA$4,0)),0),IFERROR(N($E24)*INDEX(Options!$U$5:$AA$104,MATCH($D24,Options!$A$5:$A$104,0),MATCH(M$4,Options!$U$4:$AA$4,0)),0),IFERROR(N($G24)*INDEX(Options!$U$5:$AA$104,MATCH($F24,Options!$A$5:$A$104,0),MATCH(M$4,Options!$U$4:$AA$4,0)),0),IFERROR(N($I24)*INDEX(Options!$U$5:$AA$104,MATCH($H24,Options!$A$5:$A$104,0),MATCH(M$4,Options!$U$4:$AA$4,0)),0),IFERROR(N($K24)*INDEX(Options!$U$5:$AA$104,MATCH($J24,Options!$A$5:$A$104,0),MATCH(M$4,Options!$U$4:$AA$4,0)),0))</f>
        <v>0</v>
      </c>
      <c r="N24" s="103">
        <f>SUM(IFERROR(N($C24)*INDEX(Options!$U$5:$AA$104,MATCH($B24,Options!$A$5:$A$104,0),MATCH(N$4,Options!$U$4:$AA$4,0)),0),IFERROR(N($E24)*INDEX(Options!$U$5:$AA$104,MATCH($D24,Options!$A$5:$A$104,0),MATCH(N$4,Options!$U$4:$AA$4,0)),0),IFERROR(N($G24)*INDEX(Options!$U$5:$AA$104,MATCH($F24,Options!$A$5:$A$104,0),MATCH(N$4,Options!$U$4:$AA$4,0)),0),IFERROR(N($I24)*INDEX(Options!$U$5:$AA$104,MATCH($H24,Options!$A$5:$A$104,0),MATCH(N$4,Options!$U$4:$AA$4,0)),0),IFERROR(N($K24)*INDEX(Options!$U$5:$AA$104,MATCH($J24,Options!$A$5:$A$104,0),MATCH(N$4,Options!$U$4:$AA$4,0)),0))</f>
        <v>0</v>
      </c>
      <c r="O24" s="105">
        <f>SUM(IFERROR(N($C24)*INDEX(Options!$U$5:$AA$104,MATCH($B24,Options!$A$5:$A$104,0),MATCH(O$4,Options!$U$4:$AA$4,0)),0),IFERROR(N($E24)*INDEX(Options!$U$5:$AA$104,MATCH($D24,Options!$A$5:$A$104,0),MATCH(O$4,Options!$U$4:$AA$4,0)),0),IFERROR(N($G24)*INDEX(Options!$U$5:$AA$104,MATCH($F24,Options!$A$5:$A$104,0),MATCH(O$4,Options!$U$4:$AA$4,0)),0),IFERROR(N($I24)*INDEX(Options!$U$5:$AA$104,MATCH($H24,Options!$A$5:$A$104,0),MATCH(O$4,Options!$U$4:$AA$4,0)),0),IFERROR(N($K24)*INDEX(Options!$U$5:$AA$104,MATCH($J24,Options!$A$5:$A$104,0),MATCH(O$4,Options!$U$4:$AA$4,0)),0))</f>
        <v>0</v>
      </c>
      <c r="P24" s="101">
        <f>SUM(IFERROR(N($C24)*INDEX(Options!$U$5:$AA$104,MATCH($B24,Options!$A$5:$A$104,0),MATCH(P$4,Options!$U$4:$AA$4,0)),0),IFERROR(N($E24)*INDEX(Options!$U$5:$AA$104,MATCH($D24,Options!$A$5:$A$104,0),MATCH(P$4,Options!$U$4:$AA$4,0)),0),IFERROR(N($G24)*INDEX(Options!$U$5:$AA$104,MATCH($F24,Options!$A$5:$A$104,0),MATCH(P$4,Options!$U$4:$AA$4,0)),0),IFERROR(N($I24)*INDEX(Options!$U$5:$AA$104,MATCH($H24,Options!$A$5:$A$104,0),MATCH(P$4,Options!$U$4:$AA$4,0)),0),IFERROR(N($K24)*INDEX(Options!$U$5:$AA$104,MATCH($J24,Options!$A$5:$A$104,0),MATCH(P$4,Options!$U$4:$AA$4,0)),0))</f>
        <v>0</v>
      </c>
      <c r="Q24" s="99">
        <f>SUM(IFERROR(N($C24)*INDEX(Options!$U$5:$AA$104,MATCH($B24,Options!$A$5:$A$104,0),MATCH(Q$4,Options!$U$4:$AA$4,0)),0),IFERROR(N($E24)*INDEX(Options!$U$5:$AA$104,MATCH($D24,Options!$A$5:$A$104,0),MATCH(Q$4,Options!$U$4:$AA$4,0)),0),IFERROR(N($G24)*INDEX(Options!$U$5:$AA$104,MATCH($F24,Options!$A$5:$A$104,0),MATCH(Q$4,Options!$U$4:$AA$4,0)),0),IFERROR(N($I24)*INDEX(Options!$U$5:$AA$104,MATCH($H24,Options!$A$5:$A$104,0),MATCH(Q$4,Options!$U$4:$AA$4,0)),0),IFERROR(N($K24)*INDEX(Options!$U$5:$AA$104,MATCH($J24,Options!$A$5:$A$104,0),MATCH(Q$4,Options!$U$4:$AA$4,0)),0))</f>
        <v>0</v>
      </c>
      <c r="R24" s="99">
        <f>SUM(IFERROR(N($C24)*INDEX(Options!$U$5:$AA$104,MATCH($B24,Options!$A$5:$A$104,0),MATCH(R$4,Options!$U$4:$AA$4,0)),0),IFERROR(N($E24)*INDEX(Options!$U$5:$AA$104,MATCH($D24,Options!$A$5:$A$104,0),MATCH(R$4,Options!$U$4:$AA$4,0)),0),IFERROR(N($G24)*INDEX(Options!$U$5:$AA$104,MATCH($F24,Options!$A$5:$A$104,0),MATCH(R$4,Options!$U$4:$AA$4,0)),0),IFERROR(N($I24)*INDEX(Options!$U$5:$AA$104,MATCH($H24,Options!$A$5:$A$104,0),MATCH(R$4,Options!$U$4:$AA$4,0)),0),IFERROR(N($K24)*INDEX(Options!$U$5:$AA$104,MATCH($J24,Options!$A$5:$A$104,0),MATCH(R$4,Options!$U$4:$AA$4,0)),0))</f>
        <v>0</v>
      </c>
      <c r="S24" s="97">
        <f>SUM(IFERROR(N($C24)*INDEX(Options!$U$5:$AA$104,MATCH($B24,Options!$A$5:$A$104,0),MATCH(S$4,Options!$U$4:$AA$4,0)),0),IFERROR(N($E24)*INDEX(Options!$U$5:$AA$104,MATCH($D24,Options!$A$5:$A$104,0),MATCH(S$4,Options!$U$4:$AA$4,0)),0),IFERROR(N($G24)*INDEX(Options!$U$5:$AA$104,MATCH($F24,Options!$A$5:$A$104,0),MATCH(S$4,Options!$U$4:$AA$4,0)),0),IFERROR(N($I24)*INDEX(Options!$U$5:$AA$104,MATCH($H24,Options!$A$5:$A$104,0),MATCH(S$4,Options!$U$4:$AA$4,0)),0),IFERROR(N($K24)*INDEX(Options!$U$5:$AA$104,MATCH($J24,Options!$A$5:$A$104,0),MATCH(S$4,Options!$U$4:$AA$4,0)),0))</f>
        <v>0</v>
      </c>
    </row>
    <row r="25" spans="1:19" ht="17.55" customHeight="1">
      <c r="A25" s="87" t="s">
        <v>167</v>
      </c>
      <c r="B25" s="88"/>
      <c r="C25" s="88"/>
      <c r="D25" s="88"/>
      <c r="E25" s="88"/>
      <c r="F25" s="88"/>
      <c r="G25" s="88"/>
      <c r="H25" s="88"/>
      <c r="I25" s="88"/>
      <c r="J25" s="88"/>
      <c r="K25" s="88"/>
      <c r="L25" s="90">
        <f>SUM(IFERROR(N($C25)*N(INDEX(Options!$P$5:$P$104,MATCH($B25,Options!$A$5:$A$104,0))),0),IFERROR(N($E25)*N(INDEX(Options!$P$5:$P$104,MATCH($D25,Options!$A$5:$A$104,0))),0),IFERROR(N($G25)*N(INDEX(Options!$P$5:$P$104,MATCH($F25,Options!$A$5:$A$104,0))),0),IFERROR(N($I25)*N(INDEX(Options!$P$5:$P$104,MATCH($H25,Options!$A$5:$A$104,0))),0),IFERROR(N($K25)*N(INDEX(Options!$P$5:$P$104,MATCH($J25,Options!$A$5:$A$104,0))),0))</f>
        <v>0</v>
      </c>
      <c r="M25" s="90">
        <f>SUM(IFERROR(N($C25)*INDEX(Options!$U$5:$AA$104,MATCH($B25,Options!$A$5:$A$104,0),MATCH(M$4,Options!$U$4:$AA$4,0)),0),IFERROR(N($E25)*INDEX(Options!$U$5:$AA$104,MATCH($D25,Options!$A$5:$A$104,0),MATCH(M$4,Options!$U$4:$AA$4,0)),0),IFERROR(N($G25)*INDEX(Options!$U$5:$AA$104,MATCH($F25,Options!$A$5:$A$104,0),MATCH(M$4,Options!$U$4:$AA$4,0)),0),IFERROR(N($I25)*INDEX(Options!$U$5:$AA$104,MATCH($H25,Options!$A$5:$A$104,0),MATCH(M$4,Options!$U$4:$AA$4,0)),0),IFERROR(N($K25)*INDEX(Options!$U$5:$AA$104,MATCH($J25,Options!$A$5:$A$104,0),MATCH(M$4,Options!$U$4:$AA$4,0)),0))</f>
        <v>0</v>
      </c>
      <c r="N25" s="103">
        <f>SUM(IFERROR(N($C25)*INDEX(Options!$U$5:$AA$104,MATCH($B25,Options!$A$5:$A$104,0),MATCH(N$4,Options!$U$4:$AA$4,0)),0),IFERROR(N($E25)*INDEX(Options!$U$5:$AA$104,MATCH($D25,Options!$A$5:$A$104,0),MATCH(N$4,Options!$U$4:$AA$4,0)),0),IFERROR(N($G25)*INDEX(Options!$U$5:$AA$104,MATCH($F25,Options!$A$5:$A$104,0),MATCH(N$4,Options!$U$4:$AA$4,0)),0),IFERROR(N($I25)*INDEX(Options!$U$5:$AA$104,MATCH($H25,Options!$A$5:$A$104,0),MATCH(N$4,Options!$U$4:$AA$4,0)),0),IFERROR(N($K25)*INDEX(Options!$U$5:$AA$104,MATCH($J25,Options!$A$5:$A$104,0),MATCH(N$4,Options!$U$4:$AA$4,0)),0))</f>
        <v>0</v>
      </c>
      <c r="O25" s="105">
        <f>SUM(IFERROR(N($C25)*INDEX(Options!$U$5:$AA$104,MATCH($B25,Options!$A$5:$A$104,0),MATCH(O$4,Options!$U$4:$AA$4,0)),0),IFERROR(N($E25)*INDEX(Options!$U$5:$AA$104,MATCH($D25,Options!$A$5:$A$104,0),MATCH(O$4,Options!$U$4:$AA$4,0)),0),IFERROR(N($G25)*INDEX(Options!$U$5:$AA$104,MATCH($F25,Options!$A$5:$A$104,0),MATCH(O$4,Options!$U$4:$AA$4,0)),0),IFERROR(N($I25)*INDEX(Options!$U$5:$AA$104,MATCH($H25,Options!$A$5:$A$104,0),MATCH(O$4,Options!$U$4:$AA$4,0)),0),IFERROR(N($K25)*INDEX(Options!$U$5:$AA$104,MATCH($J25,Options!$A$5:$A$104,0),MATCH(O$4,Options!$U$4:$AA$4,0)),0))</f>
        <v>0</v>
      </c>
      <c r="P25" s="101">
        <f>SUM(IFERROR(N($C25)*INDEX(Options!$U$5:$AA$104,MATCH($B25,Options!$A$5:$A$104,0),MATCH(P$4,Options!$U$4:$AA$4,0)),0),IFERROR(N($E25)*INDEX(Options!$U$5:$AA$104,MATCH($D25,Options!$A$5:$A$104,0),MATCH(P$4,Options!$U$4:$AA$4,0)),0),IFERROR(N($G25)*INDEX(Options!$U$5:$AA$104,MATCH($F25,Options!$A$5:$A$104,0),MATCH(P$4,Options!$U$4:$AA$4,0)),0),IFERROR(N($I25)*INDEX(Options!$U$5:$AA$104,MATCH($H25,Options!$A$5:$A$104,0),MATCH(P$4,Options!$U$4:$AA$4,0)),0),IFERROR(N($K25)*INDEX(Options!$U$5:$AA$104,MATCH($J25,Options!$A$5:$A$104,0),MATCH(P$4,Options!$U$4:$AA$4,0)),0))</f>
        <v>0</v>
      </c>
      <c r="Q25" s="99">
        <f>SUM(IFERROR(N($C25)*INDEX(Options!$U$5:$AA$104,MATCH($B25,Options!$A$5:$A$104,0),MATCH(Q$4,Options!$U$4:$AA$4,0)),0),IFERROR(N($E25)*INDEX(Options!$U$5:$AA$104,MATCH($D25,Options!$A$5:$A$104,0),MATCH(Q$4,Options!$U$4:$AA$4,0)),0),IFERROR(N($G25)*INDEX(Options!$U$5:$AA$104,MATCH($F25,Options!$A$5:$A$104,0),MATCH(Q$4,Options!$U$4:$AA$4,0)),0),IFERROR(N($I25)*INDEX(Options!$U$5:$AA$104,MATCH($H25,Options!$A$5:$A$104,0),MATCH(Q$4,Options!$U$4:$AA$4,0)),0),IFERROR(N($K25)*INDEX(Options!$U$5:$AA$104,MATCH($J25,Options!$A$5:$A$104,0),MATCH(Q$4,Options!$U$4:$AA$4,0)),0))</f>
        <v>0</v>
      </c>
      <c r="R25" s="99">
        <f>SUM(IFERROR(N($C25)*INDEX(Options!$U$5:$AA$104,MATCH($B25,Options!$A$5:$A$104,0),MATCH(R$4,Options!$U$4:$AA$4,0)),0),IFERROR(N($E25)*INDEX(Options!$U$5:$AA$104,MATCH($D25,Options!$A$5:$A$104,0),MATCH(R$4,Options!$U$4:$AA$4,0)),0),IFERROR(N($G25)*INDEX(Options!$U$5:$AA$104,MATCH($F25,Options!$A$5:$A$104,0),MATCH(R$4,Options!$U$4:$AA$4,0)),0),IFERROR(N($I25)*INDEX(Options!$U$5:$AA$104,MATCH($H25,Options!$A$5:$A$104,0),MATCH(R$4,Options!$U$4:$AA$4,0)),0),IFERROR(N($K25)*INDEX(Options!$U$5:$AA$104,MATCH($J25,Options!$A$5:$A$104,0),MATCH(R$4,Options!$U$4:$AA$4,0)),0))</f>
        <v>0</v>
      </c>
      <c r="S25" s="97">
        <f>SUM(IFERROR(N($C25)*INDEX(Options!$U$5:$AA$104,MATCH($B25,Options!$A$5:$A$104,0),MATCH(S$4,Options!$U$4:$AA$4,0)),0),IFERROR(N($E25)*INDEX(Options!$U$5:$AA$104,MATCH($D25,Options!$A$5:$A$104,0),MATCH(S$4,Options!$U$4:$AA$4,0)),0),IFERROR(N($G25)*INDEX(Options!$U$5:$AA$104,MATCH($F25,Options!$A$5:$A$104,0),MATCH(S$4,Options!$U$4:$AA$4,0)),0),IFERROR(N($I25)*INDEX(Options!$U$5:$AA$104,MATCH($H25,Options!$A$5:$A$104,0),MATCH(S$4,Options!$U$4:$AA$4,0)),0),IFERROR(N($K25)*INDEX(Options!$U$5:$AA$104,MATCH($J25,Options!$A$5:$A$104,0),MATCH(S$4,Options!$U$4:$AA$4,0)),0))</f>
        <v>0</v>
      </c>
    </row>
    <row r="26" spans="1:19" ht="17.55" customHeight="1">
      <c r="A26" s="87" t="s">
        <v>223</v>
      </c>
      <c r="B26" s="88" t="s">
        <v>180</v>
      </c>
      <c r="C26" s="88">
        <v>6</v>
      </c>
      <c r="D26" s="88" t="s">
        <v>181</v>
      </c>
      <c r="E26" s="88">
        <v>11</v>
      </c>
      <c r="F26" s="88"/>
      <c r="G26" s="88"/>
      <c r="H26" s="88"/>
      <c r="I26" s="88"/>
      <c r="J26" s="88"/>
      <c r="K26" s="88"/>
      <c r="L26" s="90">
        <f>SUM(IFERROR(N($C26)*N(INDEX(Options!$P$5:$P$104,MATCH($B26,Options!$A$5:$A$104,0))),0),IFERROR(N($E26)*N(INDEX(Options!$P$5:$P$104,MATCH($D26,Options!$A$5:$A$104,0))),0),IFERROR(N($G26)*N(INDEX(Options!$P$5:$P$104,MATCH($F26,Options!$A$5:$A$104,0))),0),IFERROR(N($I26)*N(INDEX(Options!$P$5:$P$104,MATCH($H26,Options!$A$5:$A$104,0))),0),IFERROR(N($K26)*N(INDEX(Options!$P$5:$P$104,MATCH($J26,Options!$A$5:$A$104,0))),0))</f>
        <v>45000</v>
      </c>
      <c r="M26" s="90">
        <f>SUM(IFERROR(N($C26)*INDEX(Options!$U$5:$AA$104,MATCH($B26,Options!$A$5:$A$104,0),MATCH(M$4,Options!$U$4:$AA$4,0)),0),IFERROR(N($E26)*INDEX(Options!$U$5:$AA$104,MATCH($D26,Options!$A$5:$A$104,0),MATCH(M$4,Options!$U$4:$AA$4,0)),0),IFERROR(N($G26)*INDEX(Options!$U$5:$AA$104,MATCH($F26,Options!$A$5:$A$104,0),MATCH(M$4,Options!$U$4:$AA$4,0)),0),IFERROR(N($I26)*INDEX(Options!$U$5:$AA$104,MATCH($H26,Options!$A$5:$A$104,0),MATCH(M$4,Options!$U$4:$AA$4,0)),0),IFERROR(N($K26)*INDEX(Options!$U$5:$AA$104,MATCH($J26,Options!$A$5:$A$104,0),MATCH(M$4,Options!$U$4:$AA$4,0)),0))</f>
        <v>35</v>
      </c>
      <c r="N26" s="103">
        <f>SUM(IFERROR(N($C26)*INDEX(Options!$U$5:$AA$104,MATCH($B26,Options!$A$5:$A$104,0),MATCH(N$4,Options!$U$4:$AA$4,0)),0),IFERROR(N($E26)*INDEX(Options!$U$5:$AA$104,MATCH($D26,Options!$A$5:$A$104,0),MATCH(N$4,Options!$U$4:$AA$4,0)),0),IFERROR(N($G26)*INDEX(Options!$U$5:$AA$104,MATCH($F26,Options!$A$5:$A$104,0),MATCH(N$4,Options!$U$4:$AA$4,0)),0),IFERROR(N($I26)*INDEX(Options!$U$5:$AA$104,MATCH($H26,Options!$A$5:$A$104,0),MATCH(N$4,Options!$U$4:$AA$4,0)),0),IFERROR(N($K26)*INDEX(Options!$U$5:$AA$104,MATCH($J26,Options!$A$5:$A$104,0),MATCH(N$4,Options!$U$4:$AA$4,0)),0))</f>
        <v>52</v>
      </c>
      <c r="O26" s="105">
        <f>SUM(IFERROR(N($C26)*INDEX(Options!$U$5:$AA$104,MATCH($B26,Options!$A$5:$A$104,0),MATCH(O$4,Options!$U$4:$AA$4,0)),0),IFERROR(N($E26)*INDEX(Options!$U$5:$AA$104,MATCH($D26,Options!$A$5:$A$104,0),MATCH(O$4,Options!$U$4:$AA$4,0)),0),IFERROR(N($G26)*INDEX(Options!$U$5:$AA$104,MATCH($F26,Options!$A$5:$A$104,0),MATCH(O$4,Options!$U$4:$AA$4,0)),0),IFERROR(N($I26)*INDEX(Options!$U$5:$AA$104,MATCH($H26,Options!$A$5:$A$104,0),MATCH(O$4,Options!$U$4:$AA$4,0)),0),IFERROR(N($K26)*INDEX(Options!$U$5:$AA$104,MATCH($J26,Options!$A$5:$A$104,0),MATCH(O$4,Options!$U$4:$AA$4,0)),0))</f>
        <v>6</v>
      </c>
      <c r="P26" s="101">
        <f>SUM(IFERROR(N($C26)*INDEX(Options!$U$5:$AA$104,MATCH($B26,Options!$A$5:$A$104,0),MATCH(P$4,Options!$U$4:$AA$4,0)),0),IFERROR(N($E26)*INDEX(Options!$U$5:$AA$104,MATCH($D26,Options!$A$5:$A$104,0),MATCH(P$4,Options!$U$4:$AA$4,0)),0),IFERROR(N($G26)*INDEX(Options!$U$5:$AA$104,MATCH($F26,Options!$A$5:$A$104,0),MATCH(P$4,Options!$U$4:$AA$4,0)),0),IFERROR(N($I26)*INDEX(Options!$U$5:$AA$104,MATCH($H26,Options!$A$5:$A$104,0),MATCH(P$4,Options!$U$4:$AA$4,0)),0),IFERROR(N($K26)*INDEX(Options!$U$5:$AA$104,MATCH($J26,Options!$A$5:$A$104,0),MATCH(P$4,Options!$U$4:$AA$4,0)),0))</f>
        <v>0</v>
      </c>
      <c r="Q26" s="99">
        <f>SUM(IFERROR(N($C26)*INDEX(Options!$U$5:$AA$104,MATCH($B26,Options!$A$5:$A$104,0),MATCH(Q$4,Options!$U$4:$AA$4,0)),0),IFERROR(N($E26)*INDEX(Options!$U$5:$AA$104,MATCH($D26,Options!$A$5:$A$104,0),MATCH(Q$4,Options!$U$4:$AA$4,0)),0),IFERROR(N($G26)*INDEX(Options!$U$5:$AA$104,MATCH($F26,Options!$A$5:$A$104,0),MATCH(Q$4,Options!$U$4:$AA$4,0)),0),IFERROR(N($I26)*INDEX(Options!$U$5:$AA$104,MATCH($H26,Options!$A$5:$A$104,0),MATCH(Q$4,Options!$U$4:$AA$4,0)),0),IFERROR(N($K26)*INDEX(Options!$U$5:$AA$104,MATCH($J26,Options!$A$5:$A$104,0),MATCH(Q$4,Options!$U$4:$AA$4,0)),0))</f>
        <v>0</v>
      </c>
      <c r="R26" s="99">
        <f>SUM(IFERROR(N($C26)*INDEX(Options!$U$5:$AA$104,MATCH($B26,Options!$A$5:$A$104,0),MATCH(R$4,Options!$U$4:$AA$4,0)),0),IFERROR(N($E26)*INDEX(Options!$U$5:$AA$104,MATCH($D26,Options!$A$5:$A$104,0),MATCH(R$4,Options!$U$4:$AA$4,0)),0),IFERROR(N($G26)*INDEX(Options!$U$5:$AA$104,MATCH($F26,Options!$A$5:$A$104,0),MATCH(R$4,Options!$U$4:$AA$4,0)),0),IFERROR(N($I26)*INDEX(Options!$U$5:$AA$104,MATCH($H26,Options!$A$5:$A$104,0),MATCH(R$4,Options!$U$4:$AA$4,0)),0),IFERROR(N($K26)*INDEX(Options!$U$5:$AA$104,MATCH($J26,Options!$A$5:$A$104,0),MATCH(R$4,Options!$U$4:$AA$4,0)),0))</f>
        <v>0</v>
      </c>
      <c r="S26" s="97">
        <f>SUM(IFERROR(N($C26)*INDEX(Options!$U$5:$AA$104,MATCH($B26,Options!$A$5:$A$104,0),MATCH(S$4,Options!$U$4:$AA$4,0)),0),IFERROR(N($E26)*INDEX(Options!$U$5:$AA$104,MATCH($D26,Options!$A$5:$A$104,0),MATCH(S$4,Options!$U$4:$AA$4,0)),0),IFERROR(N($G26)*INDEX(Options!$U$5:$AA$104,MATCH($F26,Options!$A$5:$A$104,0),MATCH(S$4,Options!$U$4:$AA$4,0)),0),IFERROR(N($I26)*INDEX(Options!$U$5:$AA$104,MATCH($H26,Options!$A$5:$A$104,0),MATCH(S$4,Options!$U$4:$AA$4,0)),0),IFERROR(N($K26)*INDEX(Options!$U$5:$AA$104,MATCH($J26,Options!$A$5:$A$104,0),MATCH(S$4,Options!$U$4:$AA$4,0)),0))</f>
        <v>18</v>
      </c>
    </row>
    <row r="27" spans="1:19" ht="17.55" customHeight="1">
      <c r="A27" s="87" t="s">
        <v>224</v>
      </c>
      <c r="B27" s="88" t="s">
        <v>179</v>
      </c>
      <c r="C27" s="88">
        <v>17</v>
      </c>
      <c r="D27" s="88"/>
      <c r="E27" s="88"/>
      <c r="F27" s="88"/>
      <c r="G27" s="88"/>
      <c r="H27" s="88" t="s">
        <v>194</v>
      </c>
      <c r="I27" s="88"/>
      <c r="J27" s="88"/>
      <c r="K27" s="88"/>
      <c r="L27" s="90">
        <f>SUM(IFERROR(N($C27)*N(INDEX(Options!$P$5:$P$104,MATCH($B27,Options!$A$5:$A$104,0))),0),IFERROR(N($E27)*N(INDEX(Options!$P$5:$P$104,MATCH($D27,Options!$A$5:$A$104,0))),0),IFERROR(N($G27)*N(INDEX(Options!$P$5:$P$104,MATCH($F27,Options!$A$5:$A$104,0))),0),IFERROR(N($I27)*N(INDEX(Options!$P$5:$P$104,MATCH($H27,Options!$A$5:$A$104,0))),0),IFERROR(N($K27)*N(INDEX(Options!$P$5:$P$104,MATCH($J27,Options!$A$5:$A$104,0))),0))</f>
        <v>46750</v>
      </c>
      <c r="M27" s="90">
        <f>SUM(IFERROR(N($C27)*INDEX(Options!$U$5:$AA$104,MATCH($B27,Options!$A$5:$A$104,0),MATCH(M$4,Options!$U$4:$AA$4,0)),0),IFERROR(N($E27)*INDEX(Options!$U$5:$AA$104,MATCH($D27,Options!$A$5:$A$104,0),MATCH(M$4,Options!$U$4:$AA$4,0)),0),IFERROR(N($G27)*INDEX(Options!$U$5:$AA$104,MATCH($F27,Options!$A$5:$A$104,0),MATCH(M$4,Options!$U$4:$AA$4,0)),0),IFERROR(N($I27)*INDEX(Options!$U$5:$AA$104,MATCH($H27,Options!$A$5:$A$104,0),MATCH(M$4,Options!$U$4:$AA$4,0)),0),IFERROR(N($K27)*INDEX(Options!$U$5:$AA$104,MATCH($J27,Options!$A$5:$A$104,0),MATCH(M$4,Options!$U$4:$AA$4,0)),0))</f>
        <v>51</v>
      </c>
      <c r="N27" s="103">
        <f>SUM(IFERROR(N($C27)*INDEX(Options!$U$5:$AA$104,MATCH($B27,Options!$A$5:$A$104,0),MATCH(N$4,Options!$U$4:$AA$4,0)),0),IFERROR(N($E27)*INDEX(Options!$U$5:$AA$104,MATCH($D27,Options!$A$5:$A$104,0),MATCH(N$4,Options!$U$4:$AA$4,0)),0),IFERROR(N($G27)*INDEX(Options!$U$5:$AA$104,MATCH($F27,Options!$A$5:$A$104,0),MATCH(N$4,Options!$U$4:$AA$4,0)),0),IFERROR(N($I27)*INDEX(Options!$U$5:$AA$104,MATCH($H27,Options!$A$5:$A$104,0),MATCH(N$4,Options!$U$4:$AA$4,0)),0),IFERROR(N($K27)*INDEX(Options!$U$5:$AA$104,MATCH($J27,Options!$A$5:$A$104,0),MATCH(N$4,Options!$U$4:$AA$4,0)),0))</f>
        <v>34</v>
      </c>
      <c r="O27" s="105">
        <f>SUM(IFERROR(N($C27)*INDEX(Options!$U$5:$AA$104,MATCH($B27,Options!$A$5:$A$104,0),MATCH(O$4,Options!$U$4:$AA$4,0)),0),IFERROR(N($E27)*INDEX(Options!$U$5:$AA$104,MATCH($D27,Options!$A$5:$A$104,0),MATCH(O$4,Options!$U$4:$AA$4,0)),0),IFERROR(N($G27)*INDEX(Options!$U$5:$AA$104,MATCH($F27,Options!$A$5:$A$104,0),MATCH(O$4,Options!$U$4:$AA$4,0)),0),IFERROR(N($I27)*INDEX(Options!$U$5:$AA$104,MATCH($H27,Options!$A$5:$A$104,0),MATCH(O$4,Options!$U$4:$AA$4,0)),0),IFERROR(N($K27)*INDEX(Options!$U$5:$AA$104,MATCH($J27,Options!$A$5:$A$104,0),MATCH(O$4,Options!$U$4:$AA$4,0)),0))</f>
        <v>17</v>
      </c>
      <c r="P27" s="101">
        <f>SUM(IFERROR(N($C27)*INDEX(Options!$U$5:$AA$104,MATCH($B27,Options!$A$5:$A$104,0),MATCH(P$4,Options!$U$4:$AA$4,0)),0),IFERROR(N($E27)*INDEX(Options!$U$5:$AA$104,MATCH($D27,Options!$A$5:$A$104,0),MATCH(P$4,Options!$U$4:$AA$4,0)),0),IFERROR(N($G27)*INDEX(Options!$U$5:$AA$104,MATCH($F27,Options!$A$5:$A$104,0),MATCH(P$4,Options!$U$4:$AA$4,0)),0),IFERROR(N($I27)*INDEX(Options!$U$5:$AA$104,MATCH($H27,Options!$A$5:$A$104,0),MATCH(P$4,Options!$U$4:$AA$4,0)),0),IFERROR(N($K27)*INDEX(Options!$U$5:$AA$104,MATCH($J27,Options!$A$5:$A$104,0),MATCH(P$4,Options!$U$4:$AA$4,0)),0))</f>
        <v>0</v>
      </c>
      <c r="Q27" s="99">
        <f>SUM(IFERROR(N($C27)*INDEX(Options!$U$5:$AA$104,MATCH($B27,Options!$A$5:$A$104,0),MATCH(Q$4,Options!$U$4:$AA$4,0)),0),IFERROR(N($E27)*INDEX(Options!$U$5:$AA$104,MATCH($D27,Options!$A$5:$A$104,0),MATCH(Q$4,Options!$U$4:$AA$4,0)),0),IFERROR(N($G27)*INDEX(Options!$U$5:$AA$104,MATCH($F27,Options!$A$5:$A$104,0),MATCH(Q$4,Options!$U$4:$AA$4,0)),0),IFERROR(N($I27)*INDEX(Options!$U$5:$AA$104,MATCH($H27,Options!$A$5:$A$104,0),MATCH(Q$4,Options!$U$4:$AA$4,0)),0),IFERROR(N($K27)*INDEX(Options!$U$5:$AA$104,MATCH($J27,Options!$A$5:$A$104,0),MATCH(Q$4,Options!$U$4:$AA$4,0)),0))</f>
        <v>0</v>
      </c>
      <c r="R27" s="99">
        <f>SUM(IFERROR(N($C27)*INDEX(Options!$U$5:$AA$104,MATCH($B27,Options!$A$5:$A$104,0),MATCH(R$4,Options!$U$4:$AA$4,0)),0),IFERROR(N($E27)*INDEX(Options!$U$5:$AA$104,MATCH($D27,Options!$A$5:$A$104,0),MATCH(R$4,Options!$U$4:$AA$4,0)),0),IFERROR(N($G27)*INDEX(Options!$U$5:$AA$104,MATCH($F27,Options!$A$5:$A$104,0),MATCH(R$4,Options!$U$4:$AA$4,0)),0),IFERROR(N($I27)*INDEX(Options!$U$5:$AA$104,MATCH($H27,Options!$A$5:$A$104,0),MATCH(R$4,Options!$U$4:$AA$4,0)),0),IFERROR(N($K27)*INDEX(Options!$U$5:$AA$104,MATCH($J27,Options!$A$5:$A$104,0),MATCH(R$4,Options!$U$4:$AA$4,0)),0))</f>
        <v>0</v>
      </c>
      <c r="S27" s="97">
        <f>SUM(IFERROR(N($C27)*INDEX(Options!$U$5:$AA$104,MATCH($B27,Options!$A$5:$A$104,0),MATCH(S$4,Options!$U$4:$AA$4,0)),0),IFERROR(N($E27)*INDEX(Options!$U$5:$AA$104,MATCH($D27,Options!$A$5:$A$104,0),MATCH(S$4,Options!$U$4:$AA$4,0)),0),IFERROR(N($G27)*INDEX(Options!$U$5:$AA$104,MATCH($F27,Options!$A$5:$A$104,0),MATCH(S$4,Options!$U$4:$AA$4,0)),0),IFERROR(N($I27)*INDEX(Options!$U$5:$AA$104,MATCH($H27,Options!$A$5:$A$104,0),MATCH(S$4,Options!$U$4:$AA$4,0)),0),IFERROR(N($K27)*INDEX(Options!$U$5:$AA$104,MATCH($J27,Options!$A$5:$A$104,0),MATCH(S$4,Options!$U$4:$AA$4,0)),0))</f>
        <v>17</v>
      </c>
    </row>
    <row r="28" spans="1:19" ht="17.55" customHeight="1">
      <c r="A28" s="87" t="s">
        <v>225</v>
      </c>
      <c r="B28" s="88" t="s">
        <v>180</v>
      </c>
      <c r="C28" s="88">
        <v>5</v>
      </c>
      <c r="D28" s="88" t="s">
        <v>179</v>
      </c>
      <c r="E28" s="88">
        <v>3</v>
      </c>
      <c r="F28" s="88" t="s">
        <v>181</v>
      </c>
      <c r="G28" s="88">
        <v>9</v>
      </c>
      <c r="H28" s="88"/>
      <c r="I28" s="88"/>
      <c r="J28" s="88"/>
      <c r="K28" s="88"/>
      <c r="L28" s="90">
        <f>SUM(IFERROR(N($C28)*N(INDEX(Options!$P$5:$P$104,MATCH($B28,Options!$A$5:$A$104,0))),0),IFERROR(N($E28)*N(INDEX(Options!$P$5:$P$104,MATCH($D28,Options!$A$5:$A$104,0))),0),IFERROR(N($G28)*N(INDEX(Options!$P$5:$P$104,MATCH($F28,Options!$A$5:$A$104,0))),0),IFERROR(N($I28)*N(INDEX(Options!$P$5:$P$104,MATCH($H28,Options!$A$5:$A$104,0))),0),IFERROR(N($K28)*N(INDEX(Options!$P$5:$P$104,MATCH($J28,Options!$A$5:$A$104,0))),0))</f>
        <v>45750</v>
      </c>
      <c r="M28" s="90">
        <f>SUM(IFERROR(N($C28)*INDEX(Options!$U$5:$AA$104,MATCH($B28,Options!$A$5:$A$104,0),MATCH(M$4,Options!$U$4:$AA$4,0)),0),IFERROR(N($E28)*INDEX(Options!$U$5:$AA$104,MATCH($D28,Options!$A$5:$A$104,0),MATCH(M$4,Options!$U$4:$AA$4,0)),0),IFERROR(N($G28)*INDEX(Options!$U$5:$AA$104,MATCH($F28,Options!$A$5:$A$104,0),MATCH(M$4,Options!$U$4:$AA$4,0)),0),IFERROR(N($I28)*INDEX(Options!$U$5:$AA$104,MATCH($H28,Options!$A$5:$A$104,0),MATCH(M$4,Options!$U$4:$AA$4,0)),0),IFERROR(N($K28)*INDEX(Options!$U$5:$AA$104,MATCH($J28,Options!$A$5:$A$104,0),MATCH(M$4,Options!$U$4:$AA$4,0)),0))</f>
        <v>38</v>
      </c>
      <c r="N28" s="103">
        <f>SUM(IFERROR(N($C28)*INDEX(Options!$U$5:$AA$104,MATCH($B28,Options!$A$5:$A$104,0),MATCH(N$4,Options!$U$4:$AA$4,0)),0),IFERROR(N($E28)*INDEX(Options!$U$5:$AA$104,MATCH($D28,Options!$A$5:$A$104,0),MATCH(N$4,Options!$U$4:$AA$4,0)),0),IFERROR(N($G28)*INDEX(Options!$U$5:$AA$104,MATCH($F28,Options!$A$5:$A$104,0),MATCH(N$4,Options!$U$4:$AA$4,0)),0),IFERROR(N($I28)*INDEX(Options!$U$5:$AA$104,MATCH($H28,Options!$A$5:$A$104,0),MATCH(N$4,Options!$U$4:$AA$4,0)),0),IFERROR(N($K28)*INDEX(Options!$U$5:$AA$104,MATCH($J28,Options!$A$5:$A$104,0),MATCH(N$4,Options!$U$4:$AA$4,0)),0))</f>
        <v>49</v>
      </c>
      <c r="O28" s="105">
        <f>SUM(IFERROR(N($C28)*INDEX(Options!$U$5:$AA$104,MATCH($B28,Options!$A$5:$A$104,0),MATCH(O$4,Options!$U$4:$AA$4,0)),0),IFERROR(N($E28)*INDEX(Options!$U$5:$AA$104,MATCH($D28,Options!$A$5:$A$104,0),MATCH(O$4,Options!$U$4:$AA$4,0)),0),IFERROR(N($G28)*INDEX(Options!$U$5:$AA$104,MATCH($F28,Options!$A$5:$A$104,0),MATCH(O$4,Options!$U$4:$AA$4,0)),0),IFERROR(N($I28)*INDEX(Options!$U$5:$AA$104,MATCH($H28,Options!$A$5:$A$104,0),MATCH(O$4,Options!$U$4:$AA$4,0)),0),IFERROR(N($K28)*INDEX(Options!$U$5:$AA$104,MATCH($J28,Options!$A$5:$A$104,0),MATCH(O$4,Options!$U$4:$AA$4,0)),0))</f>
        <v>8</v>
      </c>
      <c r="P28" s="101">
        <f>SUM(IFERROR(N($C28)*INDEX(Options!$U$5:$AA$104,MATCH($B28,Options!$A$5:$A$104,0),MATCH(P$4,Options!$U$4:$AA$4,0)),0),IFERROR(N($E28)*INDEX(Options!$U$5:$AA$104,MATCH($D28,Options!$A$5:$A$104,0),MATCH(P$4,Options!$U$4:$AA$4,0)),0),IFERROR(N($G28)*INDEX(Options!$U$5:$AA$104,MATCH($F28,Options!$A$5:$A$104,0),MATCH(P$4,Options!$U$4:$AA$4,0)),0),IFERROR(N($I28)*INDEX(Options!$U$5:$AA$104,MATCH($H28,Options!$A$5:$A$104,0),MATCH(P$4,Options!$U$4:$AA$4,0)),0),IFERROR(N($K28)*INDEX(Options!$U$5:$AA$104,MATCH($J28,Options!$A$5:$A$104,0),MATCH(P$4,Options!$U$4:$AA$4,0)),0))</f>
        <v>0</v>
      </c>
      <c r="Q28" s="99">
        <f>SUM(IFERROR(N($C28)*INDEX(Options!$U$5:$AA$104,MATCH($B28,Options!$A$5:$A$104,0),MATCH(Q$4,Options!$U$4:$AA$4,0)),0),IFERROR(N($E28)*INDEX(Options!$U$5:$AA$104,MATCH($D28,Options!$A$5:$A$104,0),MATCH(Q$4,Options!$U$4:$AA$4,0)),0),IFERROR(N($G28)*INDEX(Options!$U$5:$AA$104,MATCH($F28,Options!$A$5:$A$104,0),MATCH(Q$4,Options!$U$4:$AA$4,0)),0),IFERROR(N($I28)*INDEX(Options!$U$5:$AA$104,MATCH($H28,Options!$A$5:$A$104,0),MATCH(Q$4,Options!$U$4:$AA$4,0)),0),IFERROR(N($K28)*INDEX(Options!$U$5:$AA$104,MATCH($J28,Options!$A$5:$A$104,0),MATCH(Q$4,Options!$U$4:$AA$4,0)),0))</f>
        <v>0</v>
      </c>
      <c r="R28" s="99">
        <f>SUM(IFERROR(N($C28)*INDEX(Options!$U$5:$AA$104,MATCH($B28,Options!$A$5:$A$104,0),MATCH(R$4,Options!$U$4:$AA$4,0)),0),IFERROR(N($E28)*INDEX(Options!$U$5:$AA$104,MATCH($D28,Options!$A$5:$A$104,0),MATCH(R$4,Options!$U$4:$AA$4,0)),0),IFERROR(N($G28)*INDEX(Options!$U$5:$AA$104,MATCH($F28,Options!$A$5:$A$104,0),MATCH(R$4,Options!$U$4:$AA$4,0)),0),IFERROR(N($I28)*INDEX(Options!$U$5:$AA$104,MATCH($H28,Options!$A$5:$A$104,0),MATCH(R$4,Options!$U$4:$AA$4,0)),0),IFERROR(N($K28)*INDEX(Options!$U$5:$AA$104,MATCH($J28,Options!$A$5:$A$104,0),MATCH(R$4,Options!$U$4:$AA$4,0)),0))</f>
        <v>0</v>
      </c>
      <c r="S28" s="97">
        <f>SUM(IFERROR(N($C28)*INDEX(Options!$U$5:$AA$104,MATCH($B28,Options!$A$5:$A$104,0),MATCH(S$4,Options!$U$4:$AA$4,0)),0),IFERROR(N($E28)*INDEX(Options!$U$5:$AA$104,MATCH($D28,Options!$A$5:$A$104,0),MATCH(S$4,Options!$U$4:$AA$4,0)),0),IFERROR(N($G28)*INDEX(Options!$U$5:$AA$104,MATCH($F28,Options!$A$5:$A$104,0),MATCH(S$4,Options!$U$4:$AA$4,0)),0),IFERROR(N($I28)*INDEX(Options!$U$5:$AA$104,MATCH($H28,Options!$A$5:$A$104,0),MATCH(S$4,Options!$U$4:$AA$4,0)),0),IFERROR(N($K28)*INDEX(Options!$U$5:$AA$104,MATCH($J28,Options!$A$5:$A$104,0),MATCH(S$4,Options!$U$4:$AA$4,0)),0))</f>
        <v>18</v>
      </c>
    </row>
    <row r="29" spans="1:19" ht="17.55" customHeight="1">
      <c r="A29" s="87" t="s">
        <v>226</v>
      </c>
      <c r="B29" s="88" t="s">
        <v>185</v>
      </c>
      <c r="C29" s="88">
        <v>7</v>
      </c>
      <c r="D29" s="88" t="s">
        <v>181</v>
      </c>
      <c r="E29" s="88">
        <v>10</v>
      </c>
      <c r="F29" s="88"/>
      <c r="G29" s="88"/>
      <c r="H29" s="88"/>
      <c r="I29" s="88"/>
      <c r="J29" s="88"/>
      <c r="K29" s="88"/>
      <c r="L29" s="90">
        <f>SUM(IFERROR(N($C29)*N(INDEX(Options!$P$5:$P$104,MATCH($B29,Options!$A$5:$A$104,0))),0),IFERROR(N($E29)*N(INDEX(Options!$P$5:$P$104,MATCH($D29,Options!$A$5:$A$104,0))),0),IFERROR(N($G29)*N(INDEX(Options!$P$5:$P$104,MATCH($F29,Options!$A$5:$A$104,0))),0),IFERROR(N($I29)*N(INDEX(Options!$P$5:$P$104,MATCH($H29,Options!$A$5:$A$104,0))),0),IFERROR(N($K29)*N(INDEX(Options!$P$5:$P$104,MATCH($J29,Options!$A$5:$A$104,0))),0))</f>
        <v>45500</v>
      </c>
      <c r="M29" s="90">
        <f>SUM(IFERROR(N($C29)*INDEX(Options!$U$5:$AA$104,MATCH($B29,Options!$A$5:$A$104,0),MATCH(M$4,Options!$U$4:$AA$4,0)),0),IFERROR(N($E29)*INDEX(Options!$U$5:$AA$104,MATCH($D29,Options!$A$5:$A$104,0),MATCH(M$4,Options!$U$4:$AA$4,0)),0),IFERROR(N($G29)*INDEX(Options!$U$5:$AA$104,MATCH($F29,Options!$A$5:$A$104,0),MATCH(M$4,Options!$U$4:$AA$4,0)),0),IFERROR(N($I29)*INDEX(Options!$U$5:$AA$104,MATCH($H29,Options!$A$5:$A$104,0),MATCH(M$4,Options!$U$4:$AA$4,0)),0),IFERROR(N($K29)*INDEX(Options!$U$5:$AA$104,MATCH($J29,Options!$A$5:$A$104,0),MATCH(M$4,Options!$U$4:$AA$4,0)),0))</f>
        <v>38</v>
      </c>
      <c r="N29" s="103">
        <f>SUM(IFERROR(N($C29)*INDEX(Options!$U$5:$AA$104,MATCH($B29,Options!$A$5:$A$104,0),MATCH(N$4,Options!$U$4:$AA$4,0)),0),IFERROR(N($E29)*INDEX(Options!$U$5:$AA$104,MATCH($D29,Options!$A$5:$A$104,0),MATCH(N$4,Options!$U$4:$AA$4,0)),0),IFERROR(N($G29)*INDEX(Options!$U$5:$AA$104,MATCH($F29,Options!$A$5:$A$104,0),MATCH(N$4,Options!$U$4:$AA$4,0)),0),IFERROR(N($I29)*INDEX(Options!$U$5:$AA$104,MATCH($H29,Options!$A$5:$A$104,0),MATCH(N$4,Options!$U$4:$AA$4,0)),0),IFERROR(N($K29)*INDEX(Options!$U$5:$AA$104,MATCH($J29,Options!$A$5:$A$104,0),MATCH(N$4,Options!$U$4:$AA$4,0)),0))</f>
        <v>55</v>
      </c>
      <c r="O29" s="105">
        <f>SUM(IFERROR(N($C29)*INDEX(Options!$U$5:$AA$104,MATCH($B29,Options!$A$5:$A$104,0),MATCH(O$4,Options!$U$4:$AA$4,0)),0),IFERROR(N($E29)*INDEX(Options!$U$5:$AA$104,MATCH($D29,Options!$A$5:$A$104,0),MATCH(O$4,Options!$U$4:$AA$4,0)),0),IFERROR(N($G29)*INDEX(Options!$U$5:$AA$104,MATCH($F29,Options!$A$5:$A$104,0),MATCH(O$4,Options!$U$4:$AA$4,0)),0),IFERROR(N($I29)*INDEX(Options!$U$5:$AA$104,MATCH($H29,Options!$A$5:$A$104,0),MATCH(O$4,Options!$U$4:$AA$4,0)),0),IFERROR(N($K29)*INDEX(Options!$U$5:$AA$104,MATCH($J29,Options!$A$5:$A$104,0),MATCH(O$4,Options!$U$4:$AA$4,0)),0))</f>
        <v>14</v>
      </c>
      <c r="P29" s="101">
        <f>SUM(IFERROR(N($C29)*INDEX(Options!$U$5:$AA$104,MATCH($B29,Options!$A$5:$A$104,0),MATCH(P$4,Options!$U$4:$AA$4,0)),0),IFERROR(N($E29)*INDEX(Options!$U$5:$AA$104,MATCH($D29,Options!$A$5:$A$104,0),MATCH(P$4,Options!$U$4:$AA$4,0)),0),IFERROR(N($G29)*INDEX(Options!$U$5:$AA$104,MATCH($F29,Options!$A$5:$A$104,0),MATCH(P$4,Options!$U$4:$AA$4,0)),0),IFERROR(N($I29)*INDEX(Options!$U$5:$AA$104,MATCH($H29,Options!$A$5:$A$104,0),MATCH(P$4,Options!$U$4:$AA$4,0)),0),IFERROR(N($K29)*INDEX(Options!$U$5:$AA$104,MATCH($J29,Options!$A$5:$A$104,0),MATCH(P$4,Options!$U$4:$AA$4,0)),0))</f>
        <v>0</v>
      </c>
      <c r="Q29" s="99">
        <f>SUM(IFERROR(N($C29)*INDEX(Options!$U$5:$AA$104,MATCH($B29,Options!$A$5:$A$104,0),MATCH(Q$4,Options!$U$4:$AA$4,0)),0),IFERROR(N($E29)*INDEX(Options!$U$5:$AA$104,MATCH($D29,Options!$A$5:$A$104,0),MATCH(Q$4,Options!$U$4:$AA$4,0)),0),IFERROR(N($G29)*INDEX(Options!$U$5:$AA$104,MATCH($F29,Options!$A$5:$A$104,0),MATCH(Q$4,Options!$U$4:$AA$4,0)),0),IFERROR(N($I29)*INDEX(Options!$U$5:$AA$104,MATCH($H29,Options!$A$5:$A$104,0),MATCH(Q$4,Options!$U$4:$AA$4,0)),0),IFERROR(N($K29)*INDEX(Options!$U$5:$AA$104,MATCH($J29,Options!$A$5:$A$104,0),MATCH(Q$4,Options!$U$4:$AA$4,0)),0))</f>
        <v>0</v>
      </c>
      <c r="R29" s="99">
        <f>SUM(IFERROR(N($C29)*INDEX(Options!$U$5:$AA$104,MATCH($B29,Options!$A$5:$A$104,0),MATCH(R$4,Options!$U$4:$AA$4,0)),0),IFERROR(N($E29)*INDEX(Options!$U$5:$AA$104,MATCH($D29,Options!$A$5:$A$104,0),MATCH(R$4,Options!$U$4:$AA$4,0)),0),IFERROR(N($G29)*INDEX(Options!$U$5:$AA$104,MATCH($F29,Options!$A$5:$A$104,0),MATCH(R$4,Options!$U$4:$AA$4,0)),0),IFERROR(N($I29)*INDEX(Options!$U$5:$AA$104,MATCH($H29,Options!$A$5:$A$104,0),MATCH(R$4,Options!$U$4:$AA$4,0)),0),IFERROR(N($K29)*INDEX(Options!$U$5:$AA$104,MATCH($J29,Options!$A$5:$A$104,0),MATCH(R$4,Options!$U$4:$AA$4,0)),0))</f>
        <v>0</v>
      </c>
      <c r="S29" s="97">
        <f>SUM(IFERROR(N($C29)*INDEX(Options!$U$5:$AA$104,MATCH($B29,Options!$A$5:$A$104,0),MATCH(S$4,Options!$U$4:$AA$4,0)),0),IFERROR(N($E29)*INDEX(Options!$U$5:$AA$104,MATCH($D29,Options!$A$5:$A$104,0),MATCH(S$4,Options!$U$4:$AA$4,0)),0),IFERROR(N($G29)*INDEX(Options!$U$5:$AA$104,MATCH($F29,Options!$A$5:$A$104,0),MATCH(S$4,Options!$U$4:$AA$4,0)),0),IFERROR(N($I29)*INDEX(Options!$U$5:$AA$104,MATCH($H29,Options!$A$5:$A$104,0),MATCH(S$4,Options!$U$4:$AA$4,0)),0),IFERROR(N($K29)*INDEX(Options!$U$5:$AA$104,MATCH($J29,Options!$A$5:$A$104,0),MATCH(S$4,Options!$U$4:$AA$4,0)),0))</f>
        <v>14</v>
      </c>
    </row>
    <row r="30" spans="1:19" ht="17.55" customHeight="1">
      <c r="A30" s="87" t="s">
        <v>168</v>
      </c>
      <c r="B30" s="88"/>
      <c r="C30" s="88"/>
      <c r="D30" s="88"/>
      <c r="E30" s="88"/>
      <c r="F30" s="88"/>
      <c r="G30" s="88"/>
      <c r="H30" s="88"/>
      <c r="I30" s="88"/>
      <c r="J30" s="88"/>
      <c r="K30" s="88"/>
      <c r="L30" s="90">
        <f>SUM(IFERROR(N($C30)*N(INDEX(Options!$P$5:$P$104,MATCH($B30,Options!$A$5:$A$104,0))),0),IFERROR(N($E30)*N(INDEX(Options!$P$5:$P$104,MATCH($D30,Options!$A$5:$A$104,0))),0),IFERROR(N($G30)*N(INDEX(Options!$P$5:$P$104,MATCH($F30,Options!$A$5:$A$104,0))),0),IFERROR(N($I30)*N(INDEX(Options!$P$5:$P$104,MATCH($H30,Options!$A$5:$A$104,0))),0),IFERROR(N($K30)*N(INDEX(Options!$P$5:$P$104,MATCH($J30,Options!$A$5:$A$104,0))),0))</f>
        <v>0</v>
      </c>
      <c r="M30" s="90">
        <f>SUM(IFERROR(N($C30)*INDEX(Options!$U$5:$AA$104,MATCH($B30,Options!$A$5:$A$104,0),MATCH(M$4,Options!$U$4:$AA$4,0)),0),IFERROR(N($E30)*INDEX(Options!$U$5:$AA$104,MATCH($D30,Options!$A$5:$A$104,0),MATCH(M$4,Options!$U$4:$AA$4,0)),0),IFERROR(N($G30)*INDEX(Options!$U$5:$AA$104,MATCH($F30,Options!$A$5:$A$104,0),MATCH(M$4,Options!$U$4:$AA$4,0)),0),IFERROR(N($I30)*INDEX(Options!$U$5:$AA$104,MATCH($H30,Options!$A$5:$A$104,0),MATCH(M$4,Options!$U$4:$AA$4,0)),0),IFERROR(N($K30)*INDEX(Options!$U$5:$AA$104,MATCH($J30,Options!$A$5:$A$104,0),MATCH(M$4,Options!$U$4:$AA$4,0)),0))</f>
        <v>0</v>
      </c>
      <c r="N30" s="103">
        <f>SUM(IFERROR(N($C30)*INDEX(Options!$U$5:$AA$104,MATCH($B30,Options!$A$5:$A$104,0),MATCH(N$4,Options!$U$4:$AA$4,0)),0),IFERROR(N($E30)*INDEX(Options!$U$5:$AA$104,MATCH($D30,Options!$A$5:$A$104,0),MATCH(N$4,Options!$U$4:$AA$4,0)),0),IFERROR(N($G30)*INDEX(Options!$U$5:$AA$104,MATCH($F30,Options!$A$5:$A$104,0),MATCH(N$4,Options!$U$4:$AA$4,0)),0),IFERROR(N($I30)*INDEX(Options!$U$5:$AA$104,MATCH($H30,Options!$A$5:$A$104,0),MATCH(N$4,Options!$U$4:$AA$4,0)),0),IFERROR(N($K30)*INDEX(Options!$U$5:$AA$104,MATCH($J30,Options!$A$5:$A$104,0),MATCH(N$4,Options!$U$4:$AA$4,0)),0))</f>
        <v>0</v>
      </c>
      <c r="O30" s="105">
        <f>SUM(IFERROR(N($C30)*INDEX(Options!$U$5:$AA$104,MATCH($B30,Options!$A$5:$A$104,0),MATCH(O$4,Options!$U$4:$AA$4,0)),0),IFERROR(N($E30)*INDEX(Options!$U$5:$AA$104,MATCH($D30,Options!$A$5:$A$104,0),MATCH(O$4,Options!$U$4:$AA$4,0)),0),IFERROR(N($G30)*INDEX(Options!$U$5:$AA$104,MATCH($F30,Options!$A$5:$A$104,0),MATCH(O$4,Options!$U$4:$AA$4,0)),0),IFERROR(N($I30)*INDEX(Options!$U$5:$AA$104,MATCH($H30,Options!$A$5:$A$104,0),MATCH(O$4,Options!$U$4:$AA$4,0)),0),IFERROR(N($K30)*INDEX(Options!$U$5:$AA$104,MATCH($J30,Options!$A$5:$A$104,0),MATCH(O$4,Options!$U$4:$AA$4,0)),0))</f>
        <v>0</v>
      </c>
      <c r="P30" s="101">
        <f>SUM(IFERROR(N($C30)*INDEX(Options!$U$5:$AA$104,MATCH($B30,Options!$A$5:$A$104,0),MATCH(P$4,Options!$U$4:$AA$4,0)),0),IFERROR(N($E30)*INDEX(Options!$U$5:$AA$104,MATCH($D30,Options!$A$5:$A$104,0),MATCH(P$4,Options!$U$4:$AA$4,0)),0),IFERROR(N($G30)*INDEX(Options!$U$5:$AA$104,MATCH($F30,Options!$A$5:$A$104,0),MATCH(P$4,Options!$U$4:$AA$4,0)),0),IFERROR(N($I30)*INDEX(Options!$U$5:$AA$104,MATCH($H30,Options!$A$5:$A$104,0),MATCH(P$4,Options!$U$4:$AA$4,0)),0),IFERROR(N($K30)*INDEX(Options!$U$5:$AA$104,MATCH($J30,Options!$A$5:$A$104,0),MATCH(P$4,Options!$U$4:$AA$4,0)),0))</f>
        <v>0</v>
      </c>
      <c r="Q30" s="99">
        <f>SUM(IFERROR(N($C30)*INDEX(Options!$U$5:$AA$104,MATCH($B30,Options!$A$5:$A$104,0),MATCH(Q$4,Options!$U$4:$AA$4,0)),0),IFERROR(N($E30)*INDEX(Options!$U$5:$AA$104,MATCH($D30,Options!$A$5:$A$104,0),MATCH(Q$4,Options!$U$4:$AA$4,0)),0),IFERROR(N($G30)*INDEX(Options!$U$5:$AA$104,MATCH($F30,Options!$A$5:$A$104,0),MATCH(Q$4,Options!$U$4:$AA$4,0)),0),IFERROR(N($I30)*INDEX(Options!$U$5:$AA$104,MATCH($H30,Options!$A$5:$A$104,0),MATCH(Q$4,Options!$U$4:$AA$4,0)),0),IFERROR(N($K30)*INDEX(Options!$U$5:$AA$104,MATCH($J30,Options!$A$5:$A$104,0),MATCH(Q$4,Options!$U$4:$AA$4,0)),0))</f>
        <v>0</v>
      </c>
      <c r="R30" s="99">
        <f>SUM(IFERROR(N($C30)*INDEX(Options!$U$5:$AA$104,MATCH($B30,Options!$A$5:$A$104,0),MATCH(R$4,Options!$U$4:$AA$4,0)),0),IFERROR(N($E30)*INDEX(Options!$U$5:$AA$104,MATCH($D30,Options!$A$5:$A$104,0),MATCH(R$4,Options!$U$4:$AA$4,0)),0),IFERROR(N($G30)*INDEX(Options!$U$5:$AA$104,MATCH($F30,Options!$A$5:$A$104,0),MATCH(R$4,Options!$U$4:$AA$4,0)),0),IFERROR(N($I30)*INDEX(Options!$U$5:$AA$104,MATCH($H30,Options!$A$5:$A$104,0),MATCH(R$4,Options!$U$4:$AA$4,0)),0),IFERROR(N($K30)*INDEX(Options!$U$5:$AA$104,MATCH($J30,Options!$A$5:$A$104,0),MATCH(R$4,Options!$U$4:$AA$4,0)),0))</f>
        <v>0</v>
      </c>
      <c r="S30" s="97">
        <f>SUM(IFERROR(N($C30)*INDEX(Options!$U$5:$AA$104,MATCH($B30,Options!$A$5:$A$104,0),MATCH(S$4,Options!$U$4:$AA$4,0)),0),IFERROR(N($E30)*INDEX(Options!$U$5:$AA$104,MATCH($D30,Options!$A$5:$A$104,0),MATCH(S$4,Options!$U$4:$AA$4,0)),0),IFERROR(N($G30)*INDEX(Options!$U$5:$AA$104,MATCH($F30,Options!$A$5:$A$104,0),MATCH(S$4,Options!$U$4:$AA$4,0)),0),IFERROR(N($I30)*INDEX(Options!$U$5:$AA$104,MATCH($H30,Options!$A$5:$A$104,0),MATCH(S$4,Options!$U$4:$AA$4,0)),0),IFERROR(N($K30)*INDEX(Options!$U$5:$AA$104,MATCH($J30,Options!$A$5:$A$104,0),MATCH(S$4,Options!$U$4:$AA$4,0)),0))</f>
        <v>0</v>
      </c>
    </row>
    <row r="31" spans="1:19" ht="17.55" customHeight="1">
      <c r="A31" s="87" t="s">
        <v>169</v>
      </c>
      <c r="B31" s="88"/>
      <c r="C31" s="88"/>
      <c r="D31" s="88"/>
      <c r="E31" s="88"/>
      <c r="F31" s="88"/>
      <c r="G31" s="88"/>
      <c r="H31" s="88"/>
      <c r="I31" s="88"/>
      <c r="J31" s="88"/>
      <c r="K31" s="88"/>
      <c r="L31" s="90">
        <f>SUM(IFERROR(N($C31)*N(INDEX(Options!$P$5:$P$104,MATCH($B31,Options!$A$5:$A$104,0))),0),IFERROR(N($E31)*N(INDEX(Options!$P$5:$P$104,MATCH($D31,Options!$A$5:$A$104,0))),0),IFERROR(N($G31)*N(INDEX(Options!$P$5:$P$104,MATCH($F31,Options!$A$5:$A$104,0))),0),IFERROR(N($I31)*N(INDEX(Options!$P$5:$P$104,MATCH($H31,Options!$A$5:$A$104,0))),0),IFERROR(N($K31)*N(INDEX(Options!$P$5:$P$104,MATCH($J31,Options!$A$5:$A$104,0))),0))</f>
        <v>0</v>
      </c>
      <c r="M31" s="90">
        <f>SUM(IFERROR(N($C31)*INDEX(Options!$U$5:$AA$104,MATCH($B31,Options!$A$5:$A$104,0),MATCH(M$4,Options!$U$4:$AA$4,0)),0),IFERROR(N($E31)*INDEX(Options!$U$5:$AA$104,MATCH($D31,Options!$A$5:$A$104,0),MATCH(M$4,Options!$U$4:$AA$4,0)),0),IFERROR(N($G31)*INDEX(Options!$U$5:$AA$104,MATCH($F31,Options!$A$5:$A$104,0),MATCH(M$4,Options!$U$4:$AA$4,0)),0),IFERROR(N($I31)*INDEX(Options!$U$5:$AA$104,MATCH($H31,Options!$A$5:$A$104,0),MATCH(M$4,Options!$U$4:$AA$4,0)),0),IFERROR(N($K31)*INDEX(Options!$U$5:$AA$104,MATCH($J31,Options!$A$5:$A$104,0),MATCH(M$4,Options!$U$4:$AA$4,0)),0))</f>
        <v>0</v>
      </c>
      <c r="N31" s="103">
        <f>SUM(IFERROR(N($C31)*INDEX(Options!$U$5:$AA$104,MATCH($B31,Options!$A$5:$A$104,0),MATCH(N$4,Options!$U$4:$AA$4,0)),0),IFERROR(N($E31)*INDEX(Options!$U$5:$AA$104,MATCH($D31,Options!$A$5:$A$104,0),MATCH(N$4,Options!$U$4:$AA$4,0)),0),IFERROR(N($G31)*INDEX(Options!$U$5:$AA$104,MATCH($F31,Options!$A$5:$A$104,0),MATCH(N$4,Options!$U$4:$AA$4,0)),0),IFERROR(N($I31)*INDEX(Options!$U$5:$AA$104,MATCH($H31,Options!$A$5:$A$104,0),MATCH(N$4,Options!$U$4:$AA$4,0)),0),IFERROR(N($K31)*INDEX(Options!$U$5:$AA$104,MATCH($J31,Options!$A$5:$A$104,0),MATCH(N$4,Options!$U$4:$AA$4,0)),0))</f>
        <v>0</v>
      </c>
      <c r="O31" s="105">
        <f>SUM(IFERROR(N($C31)*INDEX(Options!$U$5:$AA$104,MATCH($B31,Options!$A$5:$A$104,0),MATCH(O$4,Options!$U$4:$AA$4,0)),0),IFERROR(N($E31)*INDEX(Options!$U$5:$AA$104,MATCH($D31,Options!$A$5:$A$104,0),MATCH(O$4,Options!$U$4:$AA$4,0)),0),IFERROR(N($G31)*INDEX(Options!$U$5:$AA$104,MATCH($F31,Options!$A$5:$A$104,0),MATCH(O$4,Options!$U$4:$AA$4,0)),0),IFERROR(N($I31)*INDEX(Options!$U$5:$AA$104,MATCH($H31,Options!$A$5:$A$104,0),MATCH(O$4,Options!$U$4:$AA$4,0)),0),IFERROR(N($K31)*INDEX(Options!$U$5:$AA$104,MATCH($J31,Options!$A$5:$A$104,0),MATCH(O$4,Options!$U$4:$AA$4,0)),0))</f>
        <v>0</v>
      </c>
      <c r="P31" s="101">
        <f>SUM(IFERROR(N($C31)*INDEX(Options!$U$5:$AA$104,MATCH($B31,Options!$A$5:$A$104,0),MATCH(P$4,Options!$U$4:$AA$4,0)),0),IFERROR(N($E31)*INDEX(Options!$U$5:$AA$104,MATCH($D31,Options!$A$5:$A$104,0),MATCH(P$4,Options!$U$4:$AA$4,0)),0),IFERROR(N($G31)*INDEX(Options!$U$5:$AA$104,MATCH($F31,Options!$A$5:$A$104,0),MATCH(P$4,Options!$U$4:$AA$4,0)),0),IFERROR(N($I31)*INDEX(Options!$U$5:$AA$104,MATCH($H31,Options!$A$5:$A$104,0),MATCH(P$4,Options!$U$4:$AA$4,0)),0),IFERROR(N($K31)*INDEX(Options!$U$5:$AA$104,MATCH($J31,Options!$A$5:$A$104,0),MATCH(P$4,Options!$U$4:$AA$4,0)),0))</f>
        <v>0</v>
      </c>
      <c r="Q31" s="99">
        <f>SUM(IFERROR(N($C31)*INDEX(Options!$U$5:$AA$104,MATCH($B31,Options!$A$5:$A$104,0),MATCH(Q$4,Options!$U$4:$AA$4,0)),0),IFERROR(N($E31)*INDEX(Options!$U$5:$AA$104,MATCH($D31,Options!$A$5:$A$104,0),MATCH(Q$4,Options!$U$4:$AA$4,0)),0),IFERROR(N($G31)*INDEX(Options!$U$5:$AA$104,MATCH($F31,Options!$A$5:$A$104,0),MATCH(Q$4,Options!$U$4:$AA$4,0)),0),IFERROR(N($I31)*INDEX(Options!$U$5:$AA$104,MATCH($H31,Options!$A$5:$A$104,0),MATCH(Q$4,Options!$U$4:$AA$4,0)),0),IFERROR(N($K31)*INDEX(Options!$U$5:$AA$104,MATCH($J31,Options!$A$5:$A$104,0),MATCH(Q$4,Options!$U$4:$AA$4,0)),0))</f>
        <v>0</v>
      </c>
      <c r="R31" s="99">
        <f>SUM(IFERROR(N($C31)*INDEX(Options!$U$5:$AA$104,MATCH($B31,Options!$A$5:$A$104,0),MATCH(R$4,Options!$U$4:$AA$4,0)),0),IFERROR(N($E31)*INDEX(Options!$U$5:$AA$104,MATCH($D31,Options!$A$5:$A$104,0),MATCH(R$4,Options!$U$4:$AA$4,0)),0),IFERROR(N($G31)*INDEX(Options!$U$5:$AA$104,MATCH($F31,Options!$A$5:$A$104,0),MATCH(R$4,Options!$U$4:$AA$4,0)),0),IFERROR(N($I31)*INDEX(Options!$U$5:$AA$104,MATCH($H31,Options!$A$5:$A$104,0),MATCH(R$4,Options!$U$4:$AA$4,0)),0),IFERROR(N($K31)*INDEX(Options!$U$5:$AA$104,MATCH($J31,Options!$A$5:$A$104,0),MATCH(R$4,Options!$U$4:$AA$4,0)),0))</f>
        <v>0</v>
      </c>
      <c r="S31" s="97">
        <f>SUM(IFERROR(N($C31)*INDEX(Options!$U$5:$AA$104,MATCH($B31,Options!$A$5:$A$104,0),MATCH(S$4,Options!$U$4:$AA$4,0)),0),IFERROR(N($E31)*INDEX(Options!$U$5:$AA$104,MATCH($D31,Options!$A$5:$A$104,0),MATCH(S$4,Options!$U$4:$AA$4,0)),0),IFERROR(N($G31)*INDEX(Options!$U$5:$AA$104,MATCH($F31,Options!$A$5:$A$104,0),MATCH(S$4,Options!$U$4:$AA$4,0)),0),IFERROR(N($I31)*INDEX(Options!$U$5:$AA$104,MATCH($H31,Options!$A$5:$A$104,0),MATCH(S$4,Options!$U$4:$AA$4,0)),0),IFERROR(N($K31)*INDEX(Options!$U$5:$AA$104,MATCH($J31,Options!$A$5:$A$104,0),MATCH(S$4,Options!$U$4:$AA$4,0)),0))</f>
        <v>0</v>
      </c>
    </row>
    <row r="32" spans="1:19" ht="17.55" customHeight="1">
      <c r="A32" s="87" t="s">
        <v>170</v>
      </c>
      <c r="B32" s="88"/>
      <c r="C32" s="88"/>
      <c r="D32" s="88"/>
      <c r="E32" s="88"/>
      <c r="F32" s="88"/>
      <c r="G32" s="88"/>
      <c r="H32" s="88"/>
      <c r="I32" s="88"/>
      <c r="J32" s="88"/>
      <c r="K32" s="88"/>
      <c r="L32" s="90">
        <f>SUM(IFERROR(N($C32)*N(INDEX(Options!$P$5:$P$104,MATCH($B32,Options!$A$5:$A$104,0))),0),IFERROR(N($E32)*N(INDEX(Options!$P$5:$P$104,MATCH($D32,Options!$A$5:$A$104,0))),0),IFERROR(N($G32)*N(INDEX(Options!$P$5:$P$104,MATCH($F32,Options!$A$5:$A$104,0))),0),IFERROR(N($I32)*N(INDEX(Options!$P$5:$P$104,MATCH($H32,Options!$A$5:$A$104,0))),0),IFERROR(N($K32)*N(INDEX(Options!$P$5:$P$104,MATCH($J32,Options!$A$5:$A$104,0))),0))</f>
        <v>0</v>
      </c>
      <c r="M32" s="90">
        <f>SUM(IFERROR(N($C32)*INDEX(Options!$U$5:$AA$104,MATCH($B32,Options!$A$5:$A$104,0),MATCH(M$4,Options!$U$4:$AA$4,0)),0),IFERROR(N($E32)*INDEX(Options!$U$5:$AA$104,MATCH($D32,Options!$A$5:$A$104,0),MATCH(M$4,Options!$U$4:$AA$4,0)),0),IFERROR(N($G32)*INDEX(Options!$U$5:$AA$104,MATCH($F32,Options!$A$5:$A$104,0),MATCH(M$4,Options!$U$4:$AA$4,0)),0),IFERROR(N($I32)*INDEX(Options!$U$5:$AA$104,MATCH($H32,Options!$A$5:$A$104,0),MATCH(M$4,Options!$U$4:$AA$4,0)),0),IFERROR(N($K32)*INDEX(Options!$U$5:$AA$104,MATCH($J32,Options!$A$5:$A$104,0),MATCH(M$4,Options!$U$4:$AA$4,0)),0))</f>
        <v>0</v>
      </c>
      <c r="N32" s="103">
        <f>SUM(IFERROR(N($C32)*INDEX(Options!$U$5:$AA$104,MATCH($B32,Options!$A$5:$A$104,0),MATCH(N$4,Options!$U$4:$AA$4,0)),0),IFERROR(N($E32)*INDEX(Options!$U$5:$AA$104,MATCH($D32,Options!$A$5:$A$104,0),MATCH(N$4,Options!$U$4:$AA$4,0)),0),IFERROR(N($G32)*INDEX(Options!$U$5:$AA$104,MATCH($F32,Options!$A$5:$A$104,0),MATCH(N$4,Options!$U$4:$AA$4,0)),0),IFERROR(N($I32)*INDEX(Options!$U$5:$AA$104,MATCH($H32,Options!$A$5:$A$104,0),MATCH(N$4,Options!$U$4:$AA$4,0)),0),IFERROR(N($K32)*INDEX(Options!$U$5:$AA$104,MATCH($J32,Options!$A$5:$A$104,0),MATCH(N$4,Options!$U$4:$AA$4,0)),0))</f>
        <v>0</v>
      </c>
      <c r="O32" s="105">
        <f>SUM(IFERROR(N($C32)*INDEX(Options!$U$5:$AA$104,MATCH($B32,Options!$A$5:$A$104,0),MATCH(O$4,Options!$U$4:$AA$4,0)),0),IFERROR(N($E32)*INDEX(Options!$U$5:$AA$104,MATCH($D32,Options!$A$5:$A$104,0),MATCH(O$4,Options!$U$4:$AA$4,0)),0),IFERROR(N($G32)*INDEX(Options!$U$5:$AA$104,MATCH($F32,Options!$A$5:$A$104,0),MATCH(O$4,Options!$U$4:$AA$4,0)),0),IFERROR(N($I32)*INDEX(Options!$U$5:$AA$104,MATCH($H32,Options!$A$5:$A$104,0),MATCH(O$4,Options!$U$4:$AA$4,0)),0),IFERROR(N($K32)*INDEX(Options!$U$5:$AA$104,MATCH($J32,Options!$A$5:$A$104,0),MATCH(O$4,Options!$U$4:$AA$4,0)),0))</f>
        <v>0</v>
      </c>
      <c r="P32" s="101">
        <f>SUM(IFERROR(N($C32)*INDEX(Options!$U$5:$AA$104,MATCH($B32,Options!$A$5:$A$104,0),MATCH(P$4,Options!$U$4:$AA$4,0)),0),IFERROR(N($E32)*INDEX(Options!$U$5:$AA$104,MATCH($D32,Options!$A$5:$A$104,0),MATCH(P$4,Options!$U$4:$AA$4,0)),0),IFERROR(N($G32)*INDEX(Options!$U$5:$AA$104,MATCH($F32,Options!$A$5:$A$104,0),MATCH(P$4,Options!$U$4:$AA$4,0)),0),IFERROR(N($I32)*INDEX(Options!$U$5:$AA$104,MATCH($H32,Options!$A$5:$A$104,0),MATCH(P$4,Options!$U$4:$AA$4,0)),0),IFERROR(N($K32)*INDEX(Options!$U$5:$AA$104,MATCH($J32,Options!$A$5:$A$104,0),MATCH(P$4,Options!$U$4:$AA$4,0)),0))</f>
        <v>0</v>
      </c>
      <c r="Q32" s="99">
        <f>SUM(IFERROR(N($C32)*INDEX(Options!$U$5:$AA$104,MATCH($B32,Options!$A$5:$A$104,0),MATCH(Q$4,Options!$U$4:$AA$4,0)),0),IFERROR(N($E32)*INDEX(Options!$U$5:$AA$104,MATCH($D32,Options!$A$5:$A$104,0),MATCH(Q$4,Options!$U$4:$AA$4,0)),0),IFERROR(N($G32)*INDEX(Options!$U$5:$AA$104,MATCH($F32,Options!$A$5:$A$104,0),MATCH(Q$4,Options!$U$4:$AA$4,0)),0),IFERROR(N($I32)*INDEX(Options!$U$5:$AA$104,MATCH($H32,Options!$A$5:$A$104,0),MATCH(Q$4,Options!$U$4:$AA$4,0)),0),IFERROR(N($K32)*INDEX(Options!$U$5:$AA$104,MATCH($J32,Options!$A$5:$A$104,0),MATCH(Q$4,Options!$U$4:$AA$4,0)),0))</f>
        <v>0</v>
      </c>
      <c r="R32" s="99">
        <f>SUM(IFERROR(N($C32)*INDEX(Options!$U$5:$AA$104,MATCH($B32,Options!$A$5:$A$104,0),MATCH(R$4,Options!$U$4:$AA$4,0)),0),IFERROR(N($E32)*INDEX(Options!$U$5:$AA$104,MATCH($D32,Options!$A$5:$A$104,0),MATCH(R$4,Options!$U$4:$AA$4,0)),0),IFERROR(N($G32)*INDEX(Options!$U$5:$AA$104,MATCH($F32,Options!$A$5:$A$104,0),MATCH(R$4,Options!$U$4:$AA$4,0)),0),IFERROR(N($I32)*INDEX(Options!$U$5:$AA$104,MATCH($H32,Options!$A$5:$A$104,0),MATCH(R$4,Options!$U$4:$AA$4,0)),0),IFERROR(N($K32)*INDEX(Options!$U$5:$AA$104,MATCH($J32,Options!$A$5:$A$104,0),MATCH(R$4,Options!$U$4:$AA$4,0)),0))</f>
        <v>0</v>
      </c>
      <c r="S32" s="97">
        <f>SUM(IFERROR(N($C32)*INDEX(Options!$U$5:$AA$104,MATCH($B32,Options!$A$5:$A$104,0),MATCH(S$4,Options!$U$4:$AA$4,0)),0),IFERROR(N($E32)*INDEX(Options!$U$5:$AA$104,MATCH($D32,Options!$A$5:$A$104,0),MATCH(S$4,Options!$U$4:$AA$4,0)),0),IFERROR(N($G32)*INDEX(Options!$U$5:$AA$104,MATCH($F32,Options!$A$5:$A$104,0),MATCH(S$4,Options!$U$4:$AA$4,0)),0),IFERROR(N($I32)*INDEX(Options!$U$5:$AA$104,MATCH($H32,Options!$A$5:$A$104,0),MATCH(S$4,Options!$U$4:$AA$4,0)),0),IFERROR(N($K32)*INDEX(Options!$U$5:$AA$104,MATCH($J32,Options!$A$5:$A$104,0),MATCH(S$4,Options!$U$4:$AA$4,0)),0))</f>
        <v>0</v>
      </c>
    </row>
    <row r="33" spans="1:20" ht="17.55" customHeight="1">
      <c r="A33" s="87" t="s">
        <v>171</v>
      </c>
      <c r="B33" s="88"/>
      <c r="C33" s="88"/>
      <c r="D33" s="88"/>
      <c r="E33" s="88"/>
      <c r="F33" s="88"/>
      <c r="G33" s="88"/>
      <c r="H33" s="88"/>
      <c r="I33" s="88"/>
      <c r="J33" s="88"/>
      <c r="K33" s="88"/>
      <c r="L33" s="90">
        <f>SUM(IFERROR(N($C33)*N(INDEX(Options!$P$5:$P$104,MATCH($B33,Options!$A$5:$A$104,0))),0),IFERROR(N($E33)*N(INDEX(Options!$P$5:$P$104,MATCH($D33,Options!$A$5:$A$104,0))),0),IFERROR(N($G33)*N(INDEX(Options!$P$5:$P$104,MATCH($F33,Options!$A$5:$A$104,0))),0),IFERROR(N($I33)*N(INDEX(Options!$P$5:$P$104,MATCH($H33,Options!$A$5:$A$104,0))),0),IFERROR(N($K33)*N(INDEX(Options!$P$5:$P$104,MATCH($J33,Options!$A$5:$A$104,0))),0))</f>
        <v>0</v>
      </c>
      <c r="M33" s="90">
        <f>SUM(IFERROR(N($C33)*INDEX(Options!$U$5:$AA$104,MATCH($B33,Options!$A$5:$A$104,0),MATCH(M$4,Options!$U$4:$AA$4,0)),0),IFERROR(N($E33)*INDEX(Options!$U$5:$AA$104,MATCH($D33,Options!$A$5:$A$104,0),MATCH(M$4,Options!$U$4:$AA$4,0)),0),IFERROR(N($G33)*INDEX(Options!$U$5:$AA$104,MATCH($F33,Options!$A$5:$A$104,0),MATCH(M$4,Options!$U$4:$AA$4,0)),0),IFERROR(N($I33)*INDEX(Options!$U$5:$AA$104,MATCH($H33,Options!$A$5:$A$104,0),MATCH(M$4,Options!$U$4:$AA$4,0)),0),IFERROR(N($K33)*INDEX(Options!$U$5:$AA$104,MATCH($J33,Options!$A$5:$A$104,0),MATCH(M$4,Options!$U$4:$AA$4,0)),0))</f>
        <v>0</v>
      </c>
      <c r="N33" s="103">
        <f>SUM(IFERROR(N($C33)*INDEX(Options!$U$5:$AA$104,MATCH($B33,Options!$A$5:$A$104,0),MATCH(N$4,Options!$U$4:$AA$4,0)),0),IFERROR(N($E33)*INDEX(Options!$U$5:$AA$104,MATCH($D33,Options!$A$5:$A$104,0),MATCH(N$4,Options!$U$4:$AA$4,0)),0),IFERROR(N($G33)*INDEX(Options!$U$5:$AA$104,MATCH($F33,Options!$A$5:$A$104,0),MATCH(N$4,Options!$U$4:$AA$4,0)),0),IFERROR(N($I33)*INDEX(Options!$U$5:$AA$104,MATCH($H33,Options!$A$5:$A$104,0),MATCH(N$4,Options!$U$4:$AA$4,0)),0),IFERROR(N($K33)*INDEX(Options!$U$5:$AA$104,MATCH($J33,Options!$A$5:$A$104,0),MATCH(N$4,Options!$U$4:$AA$4,0)),0))</f>
        <v>0</v>
      </c>
      <c r="O33" s="105">
        <f>SUM(IFERROR(N($C33)*INDEX(Options!$U$5:$AA$104,MATCH($B33,Options!$A$5:$A$104,0),MATCH(O$4,Options!$U$4:$AA$4,0)),0),IFERROR(N($E33)*INDEX(Options!$U$5:$AA$104,MATCH($D33,Options!$A$5:$A$104,0),MATCH(O$4,Options!$U$4:$AA$4,0)),0),IFERROR(N($G33)*INDEX(Options!$U$5:$AA$104,MATCH($F33,Options!$A$5:$A$104,0),MATCH(O$4,Options!$U$4:$AA$4,0)),0),IFERROR(N($I33)*INDEX(Options!$U$5:$AA$104,MATCH($H33,Options!$A$5:$A$104,0),MATCH(O$4,Options!$U$4:$AA$4,0)),0),IFERROR(N($K33)*INDEX(Options!$U$5:$AA$104,MATCH($J33,Options!$A$5:$A$104,0),MATCH(O$4,Options!$U$4:$AA$4,0)),0))</f>
        <v>0</v>
      </c>
      <c r="P33" s="101">
        <f>SUM(IFERROR(N($C33)*INDEX(Options!$U$5:$AA$104,MATCH($B33,Options!$A$5:$A$104,0),MATCH(P$4,Options!$U$4:$AA$4,0)),0),IFERROR(N($E33)*INDEX(Options!$U$5:$AA$104,MATCH($D33,Options!$A$5:$A$104,0),MATCH(P$4,Options!$U$4:$AA$4,0)),0),IFERROR(N($G33)*INDEX(Options!$U$5:$AA$104,MATCH($F33,Options!$A$5:$A$104,0),MATCH(P$4,Options!$U$4:$AA$4,0)),0),IFERROR(N($I33)*INDEX(Options!$U$5:$AA$104,MATCH($H33,Options!$A$5:$A$104,0),MATCH(P$4,Options!$U$4:$AA$4,0)),0),IFERROR(N($K33)*INDEX(Options!$U$5:$AA$104,MATCH($J33,Options!$A$5:$A$104,0),MATCH(P$4,Options!$U$4:$AA$4,0)),0))</f>
        <v>0</v>
      </c>
      <c r="Q33" s="99">
        <f>SUM(IFERROR(N($C33)*INDEX(Options!$U$5:$AA$104,MATCH($B33,Options!$A$5:$A$104,0),MATCH(Q$4,Options!$U$4:$AA$4,0)),0),IFERROR(N($E33)*INDEX(Options!$U$5:$AA$104,MATCH($D33,Options!$A$5:$A$104,0),MATCH(Q$4,Options!$U$4:$AA$4,0)),0),IFERROR(N($G33)*INDEX(Options!$U$5:$AA$104,MATCH($F33,Options!$A$5:$A$104,0),MATCH(Q$4,Options!$U$4:$AA$4,0)),0),IFERROR(N($I33)*INDEX(Options!$U$5:$AA$104,MATCH($H33,Options!$A$5:$A$104,0),MATCH(Q$4,Options!$U$4:$AA$4,0)),0),IFERROR(N($K33)*INDEX(Options!$U$5:$AA$104,MATCH($J33,Options!$A$5:$A$104,0),MATCH(Q$4,Options!$U$4:$AA$4,0)),0))</f>
        <v>0</v>
      </c>
      <c r="R33" s="99">
        <f>SUM(IFERROR(N($C33)*INDEX(Options!$U$5:$AA$104,MATCH($B33,Options!$A$5:$A$104,0),MATCH(R$4,Options!$U$4:$AA$4,0)),0),IFERROR(N($E33)*INDEX(Options!$U$5:$AA$104,MATCH($D33,Options!$A$5:$A$104,0),MATCH(R$4,Options!$U$4:$AA$4,0)),0),IFERROR(N($G33)*INDEX(Options!$U$5:$AA$104,MATCH($F33,Options!$A$5:$A$104,0),MATCH(R$4,Options!$U$4:$AA$4,0)),0),IFERROR(N($I33)*INDEX(Options!$U$5:$AA$104,MATCH($H33,Options!$A$5:$A$104,0),MATCH(R$4,Options!$U$4:$AA$4,0)),0),IFERROR(N($K33)*INDEX(Options!$U$5:$AA$104,MATCH($J33,Options!$A$5:$A$104,0),MATCH(R$4,Options!$U$4:$AA$4,0)),0))</f>
        <v>0</v>
      </c>
      <c r="S33" s="97">
        <f>SUM(IFERROR(N($C33)*INDEX(Options!$U$5:$AA$104,MATCH($B33,Options!$A$5:$A$104,0),MATCH(S$4,Options!$U$4:$AA$4,0)),0),IFERROR(N($E33)*INDEX(Options!$U$5:$AA$104,MATCH($D33,Options!$A$5:$A$104,0),MATCH(S$4,Options!$U$4:$AA$4,0)),0),IFERROR(N($G33)*INDEX(Options!$U$5:$AA$104,MATCH($F33,Options!$A$5:$A$104,0),MATCH(S$4,Options!$U$4:$AA$4,0)),0),IFERROR(N($I33)*INDEX(Options!$U$5:$AA$104,MATCH($H33,Options!$A$5:$A$104,0),MATCH(S$4,Options!$U$4:$AA$4,0)),0),IFERROR(N($K33)*INDEX(Options!$U$5:$AA$104,MATCH($J33,Options!$A$5:$A$104,0),MATCH(S$4,Options!$U$4:$AA$4,0)),0))</f>
        <v>0</v>
      </c>
    </row>
    <row r="34" spans="1:20" ht="17.55" customHeight="1">
      <c r="A34" s="87" t="s">
        <v>172</v>
      </c>
      <c r="B34" s="88"/>
      <c r="C34" s="88"/>
      <c r="D34" s="88"/>
      <c r="E34" s="88"/>
      <c r="F34" s="88"/>
      <c r="G34" s="88"/>
      <c r="H34" s="88"/>
      <c r="I34" s="88"/>
      <c r="J34" s="88"/>
      <c r="K34" s="88"/>
      <c r="L34" s="90">
        <f>SUM(IFERROR(N($C34)*N(INDEX(Options!$P$5:$P$104,MATCH($B34,Options!$A$5:$A$104,0))),0),IFERROR(N($E34)*N(INDEX(Options!$P$5:$P$104,MATCH($D34,Options!$A$5:$A$104,0))),0),IFERROR(N($G34)*N(INDEX(Options!$P$5:$P$104,MATCH($F34,Options!$A$5:$A$104,0))),0),IFERROR(N($I34)*N(INDEX(Options!$P$5:$P$104,MATCH($H34,Options!$A$5:$A$104,0))),0),IFERROR(N($K34)*N(INDEX(Options!$P$5:$P$104,MATCH($J34,Options!$A$5:$A$104,0))),0))</f>
        <v>0</v>
      </c>
      <c r="M34" s="90">
        <f>SUM(IFERROR(N($C34)*INDEX(Options!$U$5:$AA$104,MATCH($B34,Options!$A$5:$A$104,0),MATCH(M$4,Options!$U$4:$AA$4,0)),0),IFERROR(N($E34)*INDEX(Options!$U$5:$AA$104,MATCH($D34,Options!$A$5:$A$104,0),MATCH(M$4,Options!$U$4:$AA$4,0)),0),IFERROR(N($G34)*INDEX(Options!$U$5:$AA$104,MATCH($F34,Options!$A$5:$A$104,0),MATCH(M$4,Options!$U$4:$AA$4,0)),0),IFERROR(N($I34)*INDEX(Options!$U$5:$AA$104,MATCH($H34,Options!$A$5:$A$104,0),MATCH(M$4,Options!$U$4:$AA$4,0)),0),IFERROR(N($K34)*INDEX(Options!$U$5:$AA$104,MATCH($J34,Options!$A$5:$A$104,0),MATCH(M$4,Options!$U$4:$AA$4,0)),0))</f>
        <v>0</v>
      </c>
      <c r="N34" s="103">
        <f>SUM(IFERROR(N($C34)*INDEX(Options!$U$5:$AA$104,MATCH($B34,Options!$A$5:$A$104,0),MATCH(N$4,Options!$U$4:$AA$4,0)),0),IFERROR(N($E34)*INDEX(Options!$U$5:$AA$104,MATCH($D34,Options!$A$5:$A$104,0),MATCH(N$4,Options!$U$4:$AA$4,0)),0),IFERROR(N($G34)*INDEX(Options!$U$5:$AA$104,MATCH($F34,Options!$A$5:$A$104,0),MATCH(N$4,Options!$U$4:$AA$4,0)),0),IFERROR(N($I34)*INDEX(Options!$U$5:$AA$104,MATCH($H34,Options!$A$5:$A$104,0),MATCH(N$4,Options!$U$4:$AA$4,0)),0),IFERROR(N($K34)*INDEX(Options!$U$5:$AA$104,MATCH($J34,Options!$A$5:$A$104,0),MATCH(N$4,Options!$U$4:$AA$4,0)),0))</f>
        <v>0</v>
      </c>
      <c r="O34" s="105">
        <f>SUM(IFERROR(N($C34)*INDEX(Options!$U$5:$AA$104,MATCH($B34,Options!$A$5:$A$104,0),MATCH(O$4,Options!$U$4:$AA$4,0)),0),IFERROR(N($E34)*INDEX(Options!$U$5:$AA$104,MATCH($D34,Options!$A$5:$A$104,0),MATCH(O$4,Options!$U$4:$AA$4,0)),0),IFERROR(N($G34)*INDEX(Options!$U$5:$AA$104,MATCH($F34,Options!$A$5:$A$104,0),MATCH(O$4,Options!$U$4:$AA$4,0)),0),IFERROR(N($I34)*INDEX(Options!$U$5:$AA$104,MATCH($H34,Options!$A$5:$A$104,0),MATCH(O$4,Options!$U$4:$AA$4,0)),0),IFERROR(N($K34)*INDEX(Options!$U$5:$AA$104,MATCH($J34,Options!$A$5:$A$104,0),MATCH(O$4,Options!$U$4:$AA$4,0)),0))</f>
        <v>0</v>
      </c>
      <c r="P34" s="101">
        <f>SUM(IFERROR(N($C34)*INDEX(Options!$U$5:$AA$104,MATCH($B34,Options!$A$5:$A$104,0),MATCH(P$4,Options!$U$4:$AA$4,0)),0),IFERROR(N($E34)*INDEX(Options!$U$5:$AA$104,MATCH($D34,Options!$A$5:$A$104,0),MATCH(P$4,Options!$U$4:$AA$4,0)),0),IFERROR(N($G34)*INDEX(Options!$U$5:$AA$104,MATCH($F34,Options!$A$5:$A$104,0),MATCH(P$4,Options!$U$4:$AA$4,0)),0),IFERROR(N($I34)*INDEX(Options!$U$5:$AA$104,MATCH($H34,Options!$A$5:$A$104,0),MATCH(P$4,Options!$U$4:$AA$4,0)),0),IFERROR(N($K34)*INDEX(Options!$U$5:$AA$104,MATCH($J34,Options!$A$5:$A$104,0),MATCH(P$4,Options!$U$4:$AA$4,0)),0))</f>
        <v>0</v>
      </c>
      <c r="Q34" s="99">
        <f>SUM(IFERROR(N($C34)*INDEX(Options!$U$5:$AA$104,MATCH($B34,Options!$A$5:$A$104,0),MATCH(Q$4,Options!$U$4:$AA$4,0)),0),IFERROR(N($E34)*INDEX(Options!$U$5:$AA$104,MATCH($D34,Options!$A$5:$A$104,0),MATCH(Q$4,Options!$U$4:$AA$4,0)),0),IFERROR(N($G34)*INDEX(Options!$U$5:$AA$104,MATCH($F34,Options!$A$5:$A$104,0),MATCH(Q$4,Options!$U$4:$AA$4,0)),0),IFERROR(N($I34)*INDEX(Options!$U$5:$AA$104,MATCH($H34,Options!$A$5:$A$104,0),MATCH(Q$4,Options!$U$4:$AA$4,0)),0),IFERROR(N($K34)*INDEX(Options!$U$5:$AA$104,MATCH($J34,Options!$A$5:$A$104,0),MATCH(Q$4,Options!$U$4:$AA$4,0)),0))</f>
        <v>0</v>
      </c>
      <c r="R34" s="99">
        <f>SUM(IFERROR(N($C34)*INDEX(Options!$U$5:$AA$104,MATCH($B34,Options!$A$5:$A$104,0),MATCH(R$4,Options!$U$4:$AA$4,0)),0),IFERROR(N($E34)*INDEX(Options!$U$5:$AA$104,MATCH($D34,Options!$A$5:$A$104,0),MATCH(R$4,Options!$U$4:$AA$4,0)),0),IFERROR(N($G34)*INDEX(Options!$U$5:$AA$104,MATCH($F34,Options!$A$5:$A$104,0),MATCH(R$4,Options!$U$4:$AA$4,0)),0),IFERROR(N($I34)*INDEX(Options!$U$5:$AA$104,MATCH($H34,Options!$A$5:$A$104,0),MATCH(R$4,Options!$U$4:$AA$4,0)),0),IFERROR(N($K34)*INDEX(Options!$U$5:$AA$104,MATCH($J34,Options!$A$5:$A$104,0),MATCH(R$4,Options!$U$4:$AA$4,0)),0))</f>
        <v>0</v>
      </c>
      <c r="S34" s="97">
        <f>SUM(IFERROR(N($C34)*INDEX(Options!$U$5:$AA$104,MATCH($B34,Options!$A$5:$A$104,0),MATCH(S$4,Options!$U$4:$AA$4,0)),0),IFERROR(N($E34)*INDEX(Options!$U$5:$AA$104,MATCH($D34,Options!$A$5:$A$104,0),MATCH(S$4,Options!$U$4:$AA$4,0)),0),IFERROR(N($G34)*INDEX(Options!$U$5:$AA$104,MATCH($F34,Options!$A$5:$A$104,0),MATCH(S$4,Options!$U$4:$AA$4,0)),0),IFERROR(N($I34)*INDEX(Options!$U$5:$AA$104,MATCH($H34,Options!$A$5:$A$104,0),MATCH(S$4,Options!$U$4:$AA$4,0)),0),IFERROR(N($K34)*INDEX(Options!$U$5:$AA$104,MATCH($J34,Options!$A$5:$A$104,0),MATCH(S$4,Options!$U$4:$AA$4,0)),0))</f>
        <v>0</v>
      </c>
    </row>
    <row r="36" spans="1:20">
      <c r="A36" s="124" t="s">
        <v>173</v>
      </c>
      <c r="B36" s="124"/>
      <c r="C36" s="124"/>
      <c r="D36" s="124"/>
      <c r="E36" s="124"/>
      <c r="F36" s="124"/>
      <c r="G36" s="124"/>
      <c r="H36" s="124"/>
      <c r="I36" s="124"/>
      <c r="J36" s="124"/>
      <c r="K36" s="124"/>
      <c r="L36" s="124"/>
      <c r="M36" s="124"/>
      <c r="N36" s="124"/>
      <c r="O36" s="124"/>
      <c r="P36" s="124"/>
      <c r="Q36" s="124"/>
      <c r="R36" s="124"/>
      <c r="S36" s="124"/>
      <c r="T36" s="120"/>
    </row>
    <row r="37" spans="1:20">
      <c r="A37" s="119" t="s">
        <v>174</v>
      </c>
      <c r="B37" s="119"/>
      <c r="C37" s="119"/>
      <c r="D37" s="119"/>
      <c r="E37" s="119"/>
      <c r="F37" s="119"/>
      <c r="G37" s="119"/>
      <c r="H37" s="119"/>
      <c r="I37" s="119"/>
      <c r="J37" s="119"/>
      <c r="K37" s="119"/>
      <c r="L37" s="119"/>
      <c r="M37" s="119"/>
      <c r="N37" s="119"/>
      <c r="O37" s="119"/>
      <c r="P37" s="119"/>
      <c r="Q37" s="119"/>
      <c r="R37" s="119"/>
      <c r="S37" s="119"/>
      <c r="T37" s="120"/>
    </row>
    <row r="38" spans="1:20">
      <c r="A38" s="119" t="s">
        <v>175</v>
      </c>
      <c r="B38" s="119"/>
      <c r="C38" s="119"/>
      <c r="D38" s="119"/>
      <c r="E38" s="119"/>
      <c r="F38" s="119"/>
      <c r="G38" s="119"/>
      <c r="H38" s="119"/>
      <c r="I38" s="119"/>
      <c r="J38" s="119"/>
      <c r="K38" s="119"/>
      <c r="L38" s="119"/>
      <c r="M38" s="119"/>
      <c r="N38" s="119"/>
      <c r="O38" s="119"/>
      <c r="P38" s="119"/>
      <c r="Q38" s="119"/>
      <c r="R38" s="119"/>
      <c r="S38" s="119"/>
      <c r="T38" s="120"/>
    </row>
    <row r="39" spans="1:20">
      <c r="A39" s="119" t="s">
        <v>176</v>
      </c>
      <c r="B39" s="119"/>
      <c r="C39" s="119"/>
      <c r="D39" s="119"/>
      <c r="E39" s="119"/>
      <c r="F39" s="119"/>
      <c r="G39" s="119"/>
      <c r="H39" s="119"/>
      <c r="I39" s="119"/>
      <c r="J39" s="119"/>
      <c r="K39" s="119"/>
      <c r="L39" s="119"/>
      <c r="M39" s="119"/>
      <c r="N39" s="119"/>
      <c r="O39" s="119"/>
      <c r="P39" s="119"/>
      <c r="Q39" s="119"/>
      <c r="R39" s="119"/>
      <c r="S39" s="119"/>
      <c r="T39" s="120"/>
    </row>
    <row r="40" spans="1:20" ht="69">
      <c r="A40" s="20" t="s">
        <v>177</v>
      </c>
    </row>
  </sheetData>
  <mergeCells count="8">
    <mergeCell ref="A38:T38"/>
    <mergeCell ref="A39:T39"/>
    <mergeCell ref="M3:S3"/>
    <mergeCell ref="A1:T1"/>
    <mergeCell ref="A2:T2"/>
    <mergeCell ref="B3:K3"/>
    <mergeCell ref="A36:T36"/>
    <mergeCell ref="A37:T37"/>
  </mergeCells>
  <phoneticPr fontId="23" type="noConversion"/>
  <dataValidations count="1">
    <dataValidation sqref="K5:K34 I5:I34 C5:C34 E5:E34 G5:G34" xr:uid="{00000000-0002-0000-0200-000005000000}">
      <formula1>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200-000000000000}">
          <x14:formula1>
            <xm:f>Options!$A$5:$A$104</xm:f>
          </x14:formula1>
          <xm:sqref>J5:J34 H5:H34 B5:B34 F5:F34 D5:D34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5"/>
  <sheetViews>
    <sheetView workbookViewId="0">
      <selection activeCell="C45" sqref="C45"/>
    </sheetView>
  </sheetViews>
  <sheetFormatPr defaultRowHeight="13.8"/>
  <cols>
    <col min="1" max="1" width="12" customWidth="1"/>
    <col min="2" max="4" width="20" customWidth="1"/>
    <col min="6" max="6" width="18" customWidth="1"/>
    <col min="7" max="7" width="12" customWidth="1"/>
    <col min="8" max="8" width="28" customWidth="1"/>
    <col min="10" max="10" width="18" customWidth="1"/>
    <col min="11" max="11" width="20" customWidth="1"/>
    <col min="12" max="12" width="10" customWidth="1"/>
  </cols>
  <sheetData>
    <row r="1" spans="1:12" ht="22.35" customHeight="1">
      <c r="A1" s="126" t="s">
        <v>0</v>
      </c>
      <c r="B1" s="127"/>
      <c r="C1" s="127"/>
      <c r="D1" s="128"/>
      <c r="F1" s="125" t="s">
        <v>1</v>
      </c>
      <c r="G1" s="125"/>
      <c r="H1" s="125"/>
      <c r="J1" s="125" t="s">
        <v>2</v>
      </c>
      <c r="K1" s="125"/>
      <c r="L1" s="125"/>
    </row>
    <row r="2" spans="1:12">
      <c r="A2" s="1" t="s">
        <v>3</v>
      </c>
      <c r="B2" s="2" t="s">
        <v>4</v>
      </c>
      <c r="C2" s="2" t="s">
        <v>5</v>
      </c>
      <c r="D2" s="3" t="s">
        <v>6</v>
      </c>
      <c r="F2" s="19" t="s">
        <v>7</v>
      </c>
      <c r="G2" s="19" t="s">
        <v>8</v>
      </c>
      <c r="H2" s="19" t="s">
        <v>9</v>
      </c>
      <c r="J2" s="19" t="s">
        <v>10</v>
      </c>
      <c r="K2" s="19" t="s">
        <v>11</v>
      </c>
      <c r="L2" s="19" t="s">
        <v>12</v>
      </c>
    </row>
    <row r="3" spans="1:12">
      <c r="A3" s="5">
        <v>1</v>
      </c>
      <c r="B3" s="7" t="s">
        <v>13</v>
      </c>
      <c r="C3" s="9" t="s">
        <v>14</v>
      </c>
      <c r="D3" s="10" t="s">
        <v>15</v>
      </c>
      <c r="F3" s="23" t="s">
        <v>14</v>
      </c>
      <c r="G3" s="22"/>
      <c r="H3" s="21"/>
      <c r="J3" s="36" t="s">
        <v>16</v>
      </c>
      <c r="K3" s="37" t="s">
        <v>13</v>
      </c>
      <c r="L3" s="42">
        <v>10</v>
      </c>
    </row>
    <row r="4" spans="1:12">
      <c r="A4" s="6">
        <v>2</v>
      </c>
      <c r="B4" s="7" t="s">
        <v>13</v>
      </c>
      <c r="C4" s="9" t="s">
        <v>14</v>
      </c>
      <c r="D4" s="10" t="s">
        <v>15</v>
      </c>
      <c r="F4" s="25" t="s">
        <v>15</v>
      </c>
      <c r="G4" s="24"/>
      <c r="H4" s="21"/>
      <c r="J4" s="38" t="s">
        <v>16</v>
      </c>
      <c r="K4" s="39" t="s">
        <v>14</v>
      </c>
      <c r="L4" s="43">
        <v>5</v>
      </c>
    </row>
    <row r="5" spans="1:12">
      <c r="A5" s="6">
        <v>3</v>
      </c>
      <c r="B5" s="7" t="s">
        <v>13</v>
      </c>
      <c r="C5" s="8" t="s">
        <v>14</v>
      </c>
      <c r="D5" s="11" t="s">
        <v>15</v>
      </c>
      <c r="F5" s="27" t="s">
        <v>17</v>
      </c>
      <c r="G5" s="26"/>
      <c r="H5" s="21" t="s">
        <v>18</v>
      </c>
      <c r="J5" s="38" t="s">
        <v>16</v>
      </c>
      <c r="K5" s="39" t="s">
        <v>15</v>
      </c>
      <c r="L5" s="43">
        <v>10</v>
      </c>
    </row>
    <row r="6" spans="1:12">
      <c r="A6" s="6">
        <v>4</v>
      </c>
      <c r="B6" s="7" t="s">
        <v>19</v>
      </c>
      <c r="C6" s="9" t="s">
        <v>14</v>
      </c>
      <c r="D6" s="12" t="s">
        <v>17</v>
      </c>
      <c r="F6" s="29" t="s">
        <v>20</v>
      </c>
      <c r="G6" s="28"/>
      <c r="H6" s="21"/>
      <c r="J6" s="38" t="s">
        <v>21</v>
      </c>
      <c r="K6" s="39" t="s">
        <v>13</v>
      </c>
      <c r="L6" s="43">
        <v>10</v>
      </c>
    </row>
    <row r="7" spans="1:12">
      <c r="A7" s="6">
        <v>5</v>
      </c>
      <c r="B7" s="7" t="s">
        <v>19</v>
      </c>
      <c r="C7" s="9" t="s">
        <v>14</v>
      </c>
      <c r="D7" s="12" t="s">
        <v>17</v>
      </c>
      <c r="F7" s="31" t="s">
        <v>13</v>
      </c>
      <c r="G7" s="30"/>
      <c r="H7" s="21" t="s">
        <v>22</v>
      </c>
      <c r="J7" s="38" t="s">
        <v>21</v>
      </c>
      <c r="K7" s="39" t="s">
        <v>14</v>
      </c>
      <c r="L7" s="43">
        <v>5</v>
      </c>
    </row>
    <row r="8" spans="1:12">
      <c r="A8" s="6">
        <v>6</v>
      </c>
      <c r="B8" s="12" t="s">
        <v>17</v>
      </c>
      <c r="C8" s="11" t="s">
        <v>15</v>
      </c>
      <c r="D8" s="13" t="s">
        <v>20</v>
      </c>
      <c r="F8" s="31" t="s">
        <v>19</v>
      </c>
      <c r="G8" s="30"/>
      <c r="H8" s="21" t="s">
        <v>22</v>
      </c>
      <c r="J8" s="38" t="s">
        <v>21</v>
      </c>
      <c r="K8" s="39" t="s">
        <v>15</v>
      </c>
      <c r="L8" s="43">
        <v>10</v>
      </c>
    </row>
    <row r="9" spans="1:12">
      <c r="A9" s="6">
        <v>7</v>
      </c>
      <c r="B9" s="7" t="s">
        <v>13</v>
      </c>
      <c r="C9" s="14" t="s">
        <v>23</v>
      </c>
      <c r="D9" s="11" t="s">
        <v>15</v>
      </c>
      <c r="F9" s="33" t="s">
        <v>23</v>
      </c>
      <c r="G9" s="32"/>
      <c r="H9" s="21"/>
      <c r="J9" s="38" t="s">
        <v>24</v>
      </c>
      <c r="K9" s="39" t="s">
        <v>13</v>
      </c>
      <c r="L9" s="43">
        <v>10</v>
      </c>
    </row>
    <row r="10" spans="1:12">
      <c r="A10" s="6">
        <v>8</v>
      </c>
      <c r="B10" s="7" t="s">
        <v>13</v>
      </c>
      <c r="C10" s="8" t="s">
        <v>14</v>
      </c>
      <c r="D10" s="11" t="s">
        <v>15</v>
      </c>
      <c r="F10" s="20" t="s">
        <v>25</v>
      </c>
      <c r="G10" s="34"/>
      <c r="H10" s="20" t="s">
        <v>26</v>
      </c>
      <c r="J10" s="38" t="s">
        <v>24</v>
      </c>
      <c r="K10" s="39" t="s">
        <v>14</v>
      </c>
      <c r="L10" s="43">
        <v>10</v>
      </c>
    </row>
    <row r="11" spans="1:12">
      <c r="A11" s="6">
        <v>9</v>
      </c>
      <c r="B11" s="7" t="s">
        <v>13</v>
      </c>
      <c r="C11" s="8" t="s">
        <v>14</v>
      </c>
      <c r="D11" s="11" t="s">
        <v>15</v>
      </c>
      <c r="J11" s="38" t="s">
        <v>24</v>
      </c>
      <c r="K11" s="39" t="s">
        <v>15</v>
      </c>
      <c r="L11" s="43">
        <v>5</v>
      </c>
    </row>
    <row r="12" spans="1:12">
      <c r="A12" s="6">
        <v>10</v>
      </c>
      <c r="B12" s="7" t="s">
        <v>19</v>
      </c>
      <c r="C12" s="14" t="s">
        <v>23</v>
      </c>
      <c r="D12" s="15" t="s">
        <v>17</v>
      </c>
      <c r="J12" s="38" t="s">
        <v>27</v>
      </c>
      <c r="K12" s="39" t="s">
        <v>19</v>
      </c>
      <c r="L12" s="43">
        <v>10</v>
      </c>
    </row>
    <row r="13" spans="1:12">
      <c r="A13" s="6">
        <v>11</v>
      </c>
      <c r="B13" s="7" t="s">
        <v>19</v>
      </c>
      <c r="C13" s="8" t="s">
        <v>14</v>
      </c>
      <c r="D13" s="15" t="s">
        <v>17</v>
      </c>
      <c r="J13" s="38" t="s">
        <v>27</v>
      </c>
      <c r="K13" s="39" t="s">
        <v>14</v>
      </c>
      <c r="L13" s="43">
        <v>5</v>
      </c>
    </row>
    <row r="14" spans="1:12">
      <c r="A14" s="6">
        <v>12</v>
      </c>
      <c r="B14" s="12" t="s">
        <v>17</v>
      </c>
      <c r="C14" s="11" t="s">
        <v>15</v>
      </c>
      <c r="D14" s="13" t="s">
        <v>20</v>
      </c>
      <c r="J14" s="38" t="s">
        <v>27</v>
      </c>
      <c r="K14" s="39" t="s">
        <v>17</v>
      </c>
      <c r="L14" s="43">
        <v>10</v>
      </c>
    </row>
    <row r="15" spans="1:12">
      <c r="A15" s="16" t="s">
        <v>28</v>
      </c>
      <c r="B15" s="129" t="s">
        <v>29</v>
      </c>
      <c r="C15" s="130"/>
      <c r="D15" s="131"/>
      <c r="J15" s="38" t="s">
        <v>30</v>
      </c>
      <c r="K15" s="39" t="s">
        <v>19</v>
      </c>
      <c r="L15" s="43">
        <v>10</v>
      </c>
    </row>
    <row r="16" spans="1:12">
      <c r="J16" s="38" t="s">
        <v>30</v>
      </c>
      <c r="K16" s="39" t="s">
        <v>14</v>
      </c>
      <c r="L16" s="43">
        <v>5</v>
      </c>
    </row>
    <row r="17" spans="1:12">
      <c r="A17" s="17" t="s">
        <v>9</v>
      </c>
      <c r="B17" s="132" t="s">
        <v>31</v>
      </c>
      <c r="C17" s="133"/>
      <c r="D17" s="134"/>
      <c r="J17" s="38" t="s">
        <v>30</v>
      </c>
      <c r="K17" s="39" t="s">
        <v>17</v>
      </c>
      <c r="L17" s="43">
        <v>10</v>
      </c>
    </row>
    <row r="18" spans="1:12">
      <c r="A18" s="18"/>
      <c r="B18" s="135" t="s">
        <v>32</v>
      </c>
      <c r="C18" s="136"/>
      <c r="D18" s="137"/>
      <c r="J18" s="38" t="s">
        <v>33</v>
      </c>
      <c r="K18" s="39" t="s">
        <v>17</v>
      </c>
      <c r="L18" s="43">
        <v>10</v>
      </c>
    </row>
    <row r="19" spans="1:12">
      <c r="J19" s="38" t="s">
        <v>33</v>
      </c>
      <c r="K19" s="39" t="s">
        <v>15</v>
      </c>
      <c r="L19" s="43">
        <v>5</v>
      </c>
    </row>
    <row r="20" spans="1:12">
      <c r="J20" s="38" t="s">
        <v>33</v>
      </c>
      <c r="K20" s="39" t="s">
        <v>20</v>
      </c>
      <c r="L20" s="43">
        <v>10</v>
      </c>
    </row>
    <row r="21" spans="1:12">
      <c r="J21" s="38" t="s">
        <v>34</v>
      </c>
      <c r="K21" s="39" t="s">
        <v>13</v>
      </c>
      <c r="L21" s="43">
        <v>10</v>
      </c>
    </row>
    <row r="22" spans="1:12">
      <c r="J22" s="38" t="s">
        <v>34</v>
      </c>
      <c r="K22" s="39" t="s">
        <v>23</v>
      </c>
      <c r="L22" s="43">
        <v>10</v>
      </c>
    </row>
    <row r="23" spans="1:12">
      <c r="J23" s="38" t="s">
        <v>34</v>
      </c>
      <c r="K23" s="39" t="s">
        <v>15</v>
      </c>
      <c r="L23" s="43">
        <v>5</v>
      </c>
    </row>
    <row r="24" spans="1:12">
      <c r="J24" s="38" t="s">
        <v>35</v>
      </c>
      <c r="K24" s="39" t="s">
        <v>13</v>
      </c>
      <c r="L24" s="43">
        <v>10</v>
      </c>
    </row>
    <row r="25" spans="1:12">
      <c r="J25" s="38" t="s">
        <v>35</v>
      </c>
      <c r="K25" s="39" t="s">
        <v>14</v>
      </c>
      <c r="L25" s="43">
        <v>10</v>
      </c>
    </row>
    <row r="26" spans="1:12">
      <c r="J26" s="38" t="s">
        <v>35</v>
      </c>
      <c r="K26" s="39" t="s">
        <v>15</v>
      </c>
      <c r="L26" s="43">
        <v>5</v>
      </c>
    </row>
    <row r="27" spans="1:12">
      <c r="J27" s="38" t="s">
        <v>36</v>
      </c>
      <c r="K27" s="39" t="s">
        <v>13</v>
      </c>
      <c r="L27" s="43">
        <v>10</v>
      </c>
    </row>
    <row r="28" spans="1:12">
      <c r="J28" s="38" t="s">
        <v>36</v>
      </c>
      <c r="K28" s="39" t="s">
        <v>14</v>
      </c>
      <c r="L28" s="43">
        <v>10</v>
      </c>
    </row>
    <row r="29" spans="1:12">
      <c r="J29" s="38" t="s">
        <v>36</v>
      </c>
      <c r="K29" s="39" t="s">
        <v>15</v>
      </c>
      <c r="L29" s="43">
        <v>5</v>
      </c>
    </row>
    <row r="30" spans="1:12">
      <c r="J30" s="38" t="s">
        <v>37</v>
      </c>
      <c r="K30" s="39" t="s">
        <v>19</v>
      </c>
      <c r="L30" s="43">
        <v>10</v>
      </c>
    </row>
    <row r="31" spans="1:12">
      <c r="J31" s="38" t="s">
        <v>37</v>
      </c>
      <c r="K31" s="39" t="s">
        <v>23</v>
      </c>
      <c r="L31" s="43">
        <v>10</v>
      </c>
    </row>
    <row r="32" spans="1:12">
      <c r="J32" s="38" t="s">
        <v>37</v>
      </c>
      <c r="K32" s="39" t="s">
        <v>17</v>
      </c>
      <c r="L32" s="43">
        <v>5</v>
      </c>
    </row>
    <row r="33" spans="10:12">
      <c r="J33" s="38" t="s">
        <v>38</v>
      </c>
      <c r="K33" s="39" t="s">
        <v>19</v>
      </c>
      <c r="L33" s="43">
        <v>10</v>
      </c>
    </row>
    <row r="34" spans="10:12">
      <c r="J34" s="38" t="s">
        <v>38</v>
      </c>
      <c r="K34" s="39" t="s">
        <v>14</v>
      </c>
      <c r="L34" s="43">
        <v>10</v>
      </c>
    </row>
    <row r="35" spans="10:12">
      <c r="J35" s="38" t="s">
        <v>38</v>
      </c>
      <c r="K35" s="39" t="s">
        <v>17</v>
      </c>
      <c r="L35" s="43">
        <v>5</v>
      </c>
    </row>
    <row r="36" spans="10:12">
      <c r="J36" s="38" t="s">
        <v>39</v>
      </c>
      <c r="K36" s="39" t="s">
        <v>17</v>
      </c>
      <c r="L36" s="43">
        <v>10</v>
      </c>
    </row>
    <row r="37" spans="10:12">
      <c r="J37" s="38" t="s">
        <v>39</v>
      </c>
      <c r="K37" s="39" t="s">
        <v>15</v>
      </c>
      <c r="L37" s="43">
        <v>5</v>
      </c>
    </row>
    <row r="38" spans="10:12">
      <c r="J38" s="38" t="s">
        <v>39</v>
      </c>
      <c r="K38" s="39" t="s">
        <v>20</v>
      </c>
      <c r="L38" s="43">
        <v>10</v>
      </c>
    </row>
    <row r="39" spans="10:12">
      <c r="J39" s="38" t="s">
        <v>40</v>
      </c>
      <c r="K39" s="39" t="s">
        <v>14</v>
      </c>
      <c r="L39" s="43">
        <v>0</v>
      </c>
    </row>
    <row r="40" spans="10:12">
      <c r="J40" s="38" t="s">
        <v>40</v>
      </c>
      <c r="K40" s="39" t="s">
        <v>15</v>
      </c>
      <c r="L40" s="43">
        <v>0</v>
      </c>
    </row>
    <row r="41" spans="10:12">
      <c r="J41" s="38" t="s">
        <v>40</v>
      </c>
      <c r="K41" s="39" t="s">
        <v>17</v>
      </c>
      <c r="L41" s="43">
        <v>0</v>
      </c>
    </row>
    <row r="42" spans="10:12">
      <c r="J42" s="38" t="s">
        <v>40</v>
      </c>
      <c r="K42" s="39" t="s">
        <v>20</v>
      </c>
      <c r="L42" s="43">
        <v>0</v>
      </c>
    </row>
    <row r="43" spans="10:12">
      <c r="J43" s="38" t="s">
        <v>40</v>
      </c>
      <c r="K43" s="39" t="s">
        <v>13</v>
      </c>
      <c r="L43" s="43">
        <v>0</v>
      </c>
    </row>
    <row r="44" spans="10:12">
      <c r="J44" s="38" t="s">
        <v>40</v>
      </c>
      <c r="K44" s="39" t="s">
        <v>19</v>
      </c>
      <c r="L44" s="43">
        <v>0</v>
      </c>
    </row>
    <row r="45" spans="10:12">
      <c r="J45" s="40" t="s">
        <v>40</v>
      </c>
      <c r="K45" s="41" t="s">
        <v>23</v>
      </c>
      <c r="L45" s="44">
        <v>0</v>
      </c>
    </row>
  </sheetData>
  <mergeCells count="6">
    <mergeCell ref="J1:L1"/>
    <mergeCell ref="A1:D1"/>
    <mergeCell ref="B15:D15"/>
    <mergeCell ref="B17:D17"/>
    <mergeCell ref="B18:D18"/>
    <mergeCell ref="F1:H1"/>
  </mergeCells>
  <conditionalFormatting sqref="K3:K45">
    <cfRule type="expression" dxfId="6" priority="1">
      <formula>K3="Void"</formula>
    </cfRule>
    <cfRule type="expression" dxfId="5" priority="2">
      <formula>K3="Origin"</formula>
    </cfRule>
    <cfRule type="expression" dxfId="4" priority="3">
      <formula>K3="DT"</formula>
    </cfRule>
    <cfRule type="expression" dxfId="3" priority="4">
      <formula>K3="Star Soul"</formula>
    </cfRule>
    <cfRule type="expression" dxfId="2" priority="5">
      <formula>K3="Artifacts"</formula>
    </cfRule>
    <cfRule type="expression" dxfId="1" priority="6">
      <formula>K3="Origin Artifacts"</formula>
    </cfRule>
    <cfRule type="expression" dxfId="0" priority="7">
      <formula>K3="Grim"</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5283A-1B39-4165-88B4-61BB1E8BB420}">
  <dimension ref="A1:C20"/>
  <sheetViews>
    <sheetView workbookViewId="0">
      <selection activeCell="C43" sqref="C43"/>
    </sheetView>
  </sheetViews>
  <sheetFormatPr defaultRowHeight="13.8"/>
  <cols>
    <col min="1" max="2" width="17.5" customWidth="1"/>
    <col min="3" max="3" width="30" customWidth="1"/>
  </cols>
  <sheetData>
    <row r="1" spans="1:3">
      <c r="A1" s="138" t="s">
        <v>204</v>
      </c>
      <c r="B1" s="138"/>
      <c r="C1" s="139"/>
    </row>
    <row r="2" spans="1:3" ht="14.4">
      <c r="A2" s="111" t="s">
        <v>218</v>
      </c>
      <c r="B2" s="112" t="s">
        <v>197</v>
      </c>
      <c r="C2" s="112" t="s">
        <v>198</v>
      </c>
    </row>
    <row r="3" spans="1:3" ht="14.4">
      <c r="A3" s="110" t="s">
        <v>217</v>
      </c>
      <c r="B3" s="106">
        <v>45827</v>
      </c>
      <c r="C3" s="107" t="s">
        <v>199</v>
      </c>
    </row>
    <row r="4" spans="1:3" ht="14.4">
      <c r="A4" s="110">
        <v>1</v>
      </c>
      <c r="B4" s="106">
        <v>45855</v>
      </c>
      <c r="C4" s="108" t="s">
        <v>211</v>
      </c>
    </row>
    <row r="5" spans="1:3" ht="14.4">
      <c r="A5" s="110">
        <v>2</v>
      </c>
      <c r="B5" s="106">
        <v>45884</v>
      </c>
      <c r="C5" s="108" t="s">
        <v>200</v>
      </c>
    </row>
    <row r="6" spans="1:3" ht="14.4">
      <c r="A6" s="110">
        <v>3</v>
      </c>
      <c r="B6" s="106">
        <v>45898</v>
      </c>
      <c r="C6" s="108" t="s">
        <v>201</v>
      </c>
    </row>
    <row r="7" spans="1:3" ht="14.4">
      <c r="A7" s="110">
        <v>4</v>
      </c>
      <c r="B7" s="106">
        <v>45912</v>
      </c>
      <c r="C7" s="107" t="s">
        <v>202</v>
      </c>
    </row>
    <row r="8" spans="1:3" ht="14.4">
      <c r="A8" s="110">
        <v>5</v>
      </c>
      <c r="B8" s="106">
        <v>45926</v>
      </c>
      <c r="C8" s="108" t="s">
        <v>203</v>
      </c>
    </row>
    <row r="9" spans="1:3" ht="14.4">
      <c r="A9" s="110">
        <v>6</v>
      </c>
      <c r="B9" s="106">
        <v>45933</v>
      </c>
      <c r="C9" s="107" t="s">
        <v>205</v>
      </c>
    </row>
    <row r="10" spans="1:3" ht="14.4">
      <c r="A10" s="110">
        <v>7</v>
      </c>
      <c r="B10" s="106">
        <v>45961</v>
      </c>
      <c r="C10" s="107" t="s">
        <v>206</v>
      </c>
    </row>
    <row r="11" spans="1:3" ht="14.4">
      <c r="A11" s="110">
        <v>8</v>
      </c>
      <c r="B11" s="106">
        <v>45982</v>
      </c>
      <c r="C11" s="107" t="s">
        <v>207</v>
      </c>
    </row>
    <row r="12" spans="1:3" ht="14.4">
      <c r="A12" s="110">
        <v>9</v>
      </c>
      <c r="B12" s="106">
        <v>46010</v>
      </c>
      <c r="C12" s="107" t="s">
        <v>208</v>
      </c>
    </row>
    <row r="13" spans="1:3" ht="14.4">
      <c r="A13" s="110">
        <v>10</v>
      </c>
      <c r="B13" s="106">
        <v>46024</v>
      </c>
      <c r="C13" s="109" t="s">
        <v>209</v>
      </c>
    </row>
    <row r="14" spans="1:3" ht="14.4">
      <c r="A14" s="110">
        <v>11</v>
      </c>
      <c r="B14" s="106">
        <v>46037</v>
      </c>
      <c r="C14" s="107" t="s">
        <v>210</v>
      </c>
    </row>
    <row r="15" spans="1:3" ht="14.4">
      <c r="A15" s="110">
        <v>12</v>
      </c>
      <c r="B15" s="106">
        <v>46066</v>
      </c>
      <c r="C15" s="109" t="s">
        <v>212</v>
      </c>
    </row>
    <row r="16" spans="1:3" ht="14.4">
      <c r="A16" s="110">
        <v>13</v>
      </c>
      <c r="B16" s="106">
        <v>46100</v>
      </c>
      <c r="C16" s="109" t="s">
        <v>213</v>
      </c>
    </row>
    <row r="17" spans="1:3" ht="14.4">
      <c r="A17" s="110">
        <v>14</v>
      </c>
      <c r="B17" s="106">
        <v>46114</v>
      </c>
      <c r="C17" s="107" t="s">
        <v>214</v>
      </c>
    </row>
    <row r="18" spans="1:3" ht="14.4">
      <c r="A18" s="110">
        <v>15</v>
      </c>
      <c r="B18" s="106">
        <v>46128</v>
      </c>
      <c r="C18" s="107" t="s">
        <v>215</v>
      </c>
    </row>
    <row r="19" spans="1:3" ht="14.4">
      <c r="A19" s="110">
        <v>16</v>
      </c>
      <c r="B19" s="106">
        <v>46156</v>
      </c>
      <c r="C19" s="109" t="s">
        <v>216</v>
      </c>
    </row>
    <row r="20" spans="1:3" ht="14.4">
      <c r="A20" s="110">
        <v>17</v>
      </c>
      <c r="B20" s="106">
        <v>46184</v>
      </c>
      <c r="C20" s="107" t="s">
        <v>199</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Options</vt:lpstr>
      <vt:lpstr>Cases</vt:lpstr>
      <vt:lpstr>Rewards</vt:lpstr>
      <vt:lpstr>Event Priview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Andrei CIprian Rabu</dc:creator>
  <cp:lastModifiedBy>Andrei CIprian Rabu</cp:lastModifiedBy>
  <dcterms:created xsi:type="dcterms:W3CDTF">2026-06-17T10:11:15Z</dcterms:created>
  <dcterms:modified xsi:type="dcterms:W3CDTF">2026-06-22T20:48:06Z</dcterms:modified>
</cp:coreProperties>
</file>